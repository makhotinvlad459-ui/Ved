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DSheet" sheetId="1" state="visible" r:id="rId1"/>
  </sheets>
  <definedNames>
    <definedName name="_xlnm.Print_Titles" localSheetId="0" hidden="0" function="0" vbProcedure="0">TDSheet!$1:$3</definedName>
    <definedName name="_xlnm._FilterDatabase" localSheetId="0" hidden="1" function="0" vbProcedure="0">TDSheet!$C$1:$C$15</definedName>
    <definedName name="_xlnm._FilterDatabase" localSheetId="0" hidden="1">'TDSheet'!$A$15:$J$43</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27">
    <font>
      <name val="Arial"/>
      <charset val="1"/>
      <family val="0"/>
      <sz val="8"/>
    </font>
    <font>
      <name val="Arial"/>
      <family val="0"/>
      <sz val="10"/>
    </font>
    <font>
      <name val="Arial"/>
      <family val="0"/>
      <sz val="10"/>
    </font>
    <font>
      <name val="Arial"/>
      <family val="0"/>
      <sz val="10"/>
    </font>
    <font>
      <name val="Calibri"/>
      <charset val="204"/>
      <family val="2"/>
      <color theme="1"/>
      <sz val="11"/>
    </font>
    <font>
      <name val="Arial"/>
      <charset val="1"/>
      <family val="2"/>
      <sz val="8"/>
    </font>
    <font>
      <name val="Calibri"/>
      <charset val="1"/>
      <family val="2"/>
      <color theme="1"/>
      <sz val="11"/>
    </font>
    <font>
      <name val="Calibri"/>
      <charset val="204"/>
      <family val="2"/>
      <color rgb="FF000000"/>
      <sz val="11"/>
    </font>
    <font>
      <name val="Times New Roman"/>
      <charset val="204"/>
      <family val="1"/>
      <sz val="8"/>
    </font>
    <font>
      <name val="Times New Roman"/>
      <charset val="204"/>
      <family val="1"/>
      <color theme="1"/>
      <sz val="8"/>
    </font>
    <font>
      <name val="Times New Roman"/>
      <charset val="204"/>
      <family val="1"/>
      <b val="1"/>
      <sz val="11"/>
    </font>
    <font>
      <name val="Times New Roman"/>
      <charset val="204"/>
      <family val="1"/>
      <b val="1"/>
      <color rgb="FFFF0000"/>
      <sz val="11"/>
    </font>
    <font>
      <name val="Times New Roman"/>
      <charset val="204"/>
      <family val="1"/>
      <sz val="11"/>
    </font>
    <font>
      <name val="Times New Roman"/>
      <charset val="204"/>
      <family val="1"/>
      <color theme="1"/>
      <sz val="11"/>
    </font>
    <font>
      <name val="Times New Roman"/>
      <charset val="204"/>
      <family val="1"/>
      <color rgb="FFFF0000"/>
      <sz val="11"/>
    </font>
    <font>
      <name val="Times New Roman"/>
      <charset val="204"/>
      <family val="1"/>
      <b val="1"/>
      <sz val="8"/>
    </font>
    <font>
      <name val="Times New Roman"/>
      <charset val="204"/>
      <family val="1"/>
      <b val="1"/>
      <sz val="10"/>
    </font>
    <font>
      <name val="Times New Roman"/>
      <charset val="204"/>
      <family val="1"/>
      <b val="1"/>
      <color theme="1"/>
      <sz val="10"/>
    </font>
    <font>
      <name val="Times New Roman"/>
      <charset val="204"/>
      <family val="1"/>
      <b val="1"/>
      <sz val="14"/>
    </font>
    <font>
      <name val="Times New Roman"/>
      <charset val="204"/>
      <family val="1"/>
      <color theme="1"/>
      <sz val="14"/>
    </font>
    <font>
      <name val="Times New Roman"/>
      <charset val="204"/>
      <family val="1"/>
      <sz val="14"/>
    </font>
    <font>
      <name val="Times New Roman"/>
      <charset val="204"/>
      <family val="1"/>
      <sz val="12"/>
    </font>
    <font>
      <name val="Times New Roman"/>
      <charset val="204"/>
      <family val="1"/>
      <color theme="1"/>
      <sz val="18"/>
    </font>
    <font>
      <name val="Times New Roman"/>
      <charset val="204"/>
      <family val="1"/>
      <sz val="18"/>
    </font>
    <font>
      <name val="Times New Roman"/>
      <charset val="204"/>
      <family val="1"/>
      <b val="1"/>
      <color theme="1"/>
      <sz val="14"/>
    </font>
    <font>
      <name val="Times New Roman"/>
      <charset val="204"/>
      <family val="1"/>
      <b val="1"/>
      <color theme="1"/>
      <sz val="11"/>
    </font>
    <font>
      <name val="Calibri"/>
      <charset val="204"/>
      <family val="2"/>
      <sz val="11"/>
    </font>
  </fonts>
  <fills count="2">
    <fill>
      <patternFill/>
    </fill>
    <fill>
      <patternFill patternType="gray125"/>
    </fill>
  </fills>
  <borders count="11">
    <border>
      <left/>
      <right/>
      <top/>
      <bottom/>
      <diagonal/>
    </border>
    <border>
      <left style="thin"/>
      <right/>
      <top style="thin"/>
      <bottom/>
      <diagonal/>
    </border>
    <border>
      <left style="thin"/>
      <right style="thin"/>
      <top style="thin"/>
      <bottom/>
      <diagonal/>
    </border>
    <border>
      <left/>
      <right style="thin"/>
      <top style="thin"/>
      <bottom/>
      <diagonal/>
    </border>
    <border>
      <left style="thin"/>
      <right/>
      <top style="thin"/>
      <bottom style="thin"/>
      <diagonal/>
    </border>
    <border>
      <left style="thin"/>
      <right style="thin"/>
      <top style="thin"/>
      <bottom style="thin"/>
      <diagonal/>
    </border>
    <border>
      <left style="thin"/>
      <right/>
      <top/>
      <bottom/>
      <diagonal/>
    </border>
    <border>
      <left style="thin"/>
      <right/>
      <top/>
      <bottom style="thin"/>
      <diagonal/>
    </border>
    <border>
      <left style="thin"/>
      <right style="thin"/>
      <top/>
      <bottom style="thin"/>
      <diagonal/>
    </border>
    <border>
      <left/>
      <right/>
      <top style="thin"/>
      <bottom/>
      <diagonal/>
    </border>
    <border>
      <left/>
      <right style="thin"/>
      <top style="thin"/>
      <bottom style="thin"/>
      <diagonal/>
    </border>
  </borders>
  <cellStyleXfs count="19">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5" fillId="0" borderId="0" applyAlignment="1">
      <alignment horizontal="general" vertical="bottom"/>
    </xf>
    <xf numFmtId="0" fontId="6" fillId="0" borderId="0" applyAlignment="1">
      <alignment horizontal="general" vertical="bottom"/>
    </xf>
    <xf numFmtId="0" fontId="7"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cellStyleXfs>
  <cellXfs count="135">
    <xf numFmtId="0" fontId="0" fillId="0" borderId="0" applyAlignment="1" pivotButton="0" quotePrefix="0" xfId="0">
      <alignment horizontal="general" vertical="bottom"/>
    </xf>
    <xf numFmtId="0" fontId="8" fillId="0" borderId="0" applyAlignment="1" pivotButton="0" quotePrefix="0" xfId="0">
      <alignment horizontal="left" vertical="bottom"/>
    </xf>
    <xf numFmtId="0" fontId="9" fillId="0" borderId="0" applyAlignment="1" pivotButton="0" quotePrefix="0" xfId="0">
      <alignment horizontal="left" vertical="bottom"/>
    </xf>
    <xf numFmtId="0" fontId="8" fillId="0" borderId="0" applyAlignment="1" pivotButton="0" quotePrefix="0" xfId="0">
      <alignment horizontal="center" vertical="center"/>
    </xf>
    <xf numFmtId="0" fontId="8" fillId="0" borderId="0" applyAlignment="1" pivotButton="0" quotePrefix="0" xfId="0">
      <alignment horizontal="center" vertical="bottom"/>
    </xf>
    <xf numFmtId="0" fontId="8" fillId="0" borderId="0" applyAlignment="1" pivotButton="0" quotePrefix="0" xfId="0">
      <alignment horizontal="general" vertical="bottom"/>
    </xf>
    <xf numFmtId="0" fontId="10" fillId="0" borderId="0" applyAlignment="1" pivotButton="0" quotePrefix="0" xfId="0">
      <alignment horizontal="left" vertical="center" wrapText="1"/>
    </xf>
    <xf numFmtId="0" fontId="10" fillId="0" borderId="0" applyAlignment="1" pivotButton="0" quotePrefix="0" xfId="0">
      <alignment horizontal="right" vertical="bottom"/>
    </xf>
    <xf numFmtId="0" fontId="8" fillId="0" borderId="0" applyAlignment="1" pivotButton="0" quotePrefix="0" xfId="0">
      <alignment horizontal="left" vertical="bottom"/>
    </xf>
    <xf numFmtId="0" fontId="10" fillId="0" borderId="0" applyAlignment="1" pivotButton="0" quotePrefix="0" xfId="0">
      <alignment horizontal="left" vertical="center"/>
    </xf>
    <xf numFmtId="0" fontId="11" fillId="0" borderId="0" applyAlignment="1" pivotButton="0" quotePrefix="0" xfId="0">
      <alignment horizontal="right" vertical="bottom"/>
    </xf>
    <xf numFmtId="0" fontId="12" fillId="0" borderId="0" applyAlignment="1" pivotButton="0" quotePrefix="0" xfId="0">
      <alignment horizontal="left" vertical="center" wrapText="1"/>
    </xf>
    <xf numFmtId="0" fontId="12" fillId="0" borderId="0" applyAlignment="1" pivotButton="0" quotePrefix="0" xfId="0">
      <alignment horizontal="right" vertical="center"/>
    </xf>
    <xf numFmtId="0" fontId="12" fillId="0" borderId="0" applyAlignment="1" pivotButton="0" quotePrefix="0" xfId="0">
      <alignment horizontal="left" vertical="bottom"/>
    </xf>
    <xf numFmtId="0" fontId="13" fillId="0" borderId="0" applyAlignment="1" pivotButton="0" quotePrefix="0" xfId="0">
      <alignment horizontal="left" vertical="bottom"/>
    </xf>
    <xf numFmtId="0" fontId="12" fillId="0" borderId="0" applyAlignment="1" pivotButton="0" quotePrefix="0" xfId="0">
      <alignment horizontal="center" vertical="bottom"/>
    </xf>
    <xf numFmtId="0" fontId="14" fillId="0" borderId="0" applyAlignment="1" pivotButton="0" quotePrefix="0" xfId="0">
      <alignment horizontal="left" vertical="bottom"/>
    </xf>
    <xf numFmtId="0" fontId="14" fillId="0" borderId="0" applyAlignment="1" pivotButton="0" quotePrefix="0" xfId="0">
      <alignment horizontal="center" vertical="bottom"/>
    </xf>
    <xf numFmtId="0" fontId="10" fillId="0" borderId="0" applyAlignment="1" pivotButton="0" quotePrefix="0" xfId="0">
      <alignment horizontal="left" vertical="bottom" wrapText="1"/>
    </xf>
    <xf numFmtId="164" fontId="10" fillId="0" borderId="0" applyAlignment="1" pivotButton="0" quotePrefix="0" xfId="0">
      <alignment horizontal="center" vertical="bottom"/>
    </xf>
    <xf numFmtId="0" fontId="15" fillId="0" borderId="0" applyAlignment="1" pivotButton="0" quotePrefix="0" xfId="0">
      <alignment horizontal="left" vertical="bottom"/>
    </xf>
    <xf numFmtId="164" fontId="10" fillId="0" borderId="0" applyAlignment="1" pivotButton="0" quotePrefix="0" xfId="0">
      <alignment horizontal="general" vertical="bottom"/>
    </xf>
    <xf numFmtId="0" fontId="10" fillId="0" borderId="0" applyAlignment="1" pivotButton="0" quotePrefix="0" xfId="0">
      <alignment horizontal="left" vertical="bottom"/>
    </xf>
    <xf numFmtId="164" fontId="11" fillId="0" borderId="0" applyAlignment="1" pivotButton="0" quotePrefix="0" xfId="0">
      <alignment horizontal="center" vertical="bottom"/>
    </xf>
    <xf numFmtId="0" fontId="15" fillId="0" borderId="0" applyAlignment="1" pivotButton="0" quotePrefix="0" xfId="0">
      <alignment horizontal="left" vertical="bottom"/>
    </xf>
    <xf numFmtId="0" fontId="10" fillId="0" borderId="0" applyAlignment="1" pivotButton="0" quotePrefix="0" xfId="0">
      <alignment horizontal="left" vertical="bottom"/>
    </xf>
    <xf numFmtId="0" fontId="11" fillId="0" borderId="0" applyAlignment="1" pivotButton="0" quotePrefix="0" xfId="0">
      <alignment horizontal="center" vertical="bottom" wrapText="1"/>
    </xf>
    <xf numFmtId="0" fontId="12" fillId="0" borderId="0" applyAlignment="1" pivotButton="0" quotePrefix="0" xfId="0">
      <alignment horizontal="left" vertical="top" wrapText="1"/>
    </xf>
    <xf numFmtId="0" fontId="12" fillId="0" borderId="0" applyAlignment="1" pivotButton="0" quotePrefix="0" xfId="0">
      <alignment horizontal="general" vertical="top" wrapText="1"/>
    </xf>
    <xf numFmtId="0" fontId="16" fillId="0" borderId="1" applyAlignment="1" pivotButton="0" quotePrefix="0" xfId="0">
      <alignment horizontal="center" vertical="center"/>
    </xf>
    <xf numFmtId="0" fontId="17" fillId="0" borderId="2"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2" applyAlignment="1" pivotButton="0" quotePrefix="0" xfId="0">
      <alignment horizontal="center" vertical="center" wrapText="1"/>
    </xf>
    <xf numFmtId="0" fontId="8" fillId="0" borderId="0" applyAlignment="1" pivotButton="0" quotePrefix="0" xfId="0">
      <alignment horizontal="general" vertical="bottom"/>
    </xf>
    <xf numFmtId="0" fontId="18" fillId="0" borderId="4" applyAlignment="1" pivotButton="0" quotePrefix="0" xfId="0">
      <alignment horizontal="center" vertical="center"/>
    </xf>
    <xf numFmtId="0" fontId="19" fillId="0" borderId="5" applyAlignment="1" pivotButton="0" quotePrefix="0" xfId="0">
      <alignment horizontal="left" vertical="center" wrapText="1"/>
    </xf>
    <xf numFmtId="0" fontId="19" fillId="0" borderId="5" applyAlignment="1" pivotButton="0" quotePrefix="0" xfId="0">
      <alignment horizontal="center" vertical="center"/>
    </xf>
    <xf numFmtId="0" fontId="20" fillId="0" borderId="5" applyAlignment="1" pivotButton="0" quotePrefix="0" xfId="0">
      <alignment horizontal="center" vertical="center"/>
    </xf>
    <xf numFmtId="1" fontId="19" fillId="0" borderId="5" applyAlignment="1" pivotButton="0" quotePrefix="0" xfId="0">
      <alignment horizontal="center" vertical="center"/>
    </xf>
    <xf numFmtId="2" fontId="20" fillId="0" borderId="5" applyAlignment="1" pivotButton="0" quotePrefix="0" xfId="0">
      <alignment horizontal="center" vertical="center" wrapText="1"/>
    </xf>
    <xf numFmtId="4" fontId="20" fillId="0" borderId="5" applyAlignment="1" pivotButton="0" quotePrefix="0" xfId="0">
      <alignment horizontal="center" vertical="center"/>
    </xf>
    <xf numFmtId="0" fontId="0" fillId="0" borderId="6" applyAlignment="1" pivotButton="0" quotePrefix="0" xfId="0">
      <alignment horizontal="general" vertical="center"/>
    </xf>
    <xf numFmtId="0" fontId="0" fillId="0" borderId="0" applyAlignment="1" pivotButton="0" quotePrefix="0" xfId="0">
      <alignment horizontal="general" vertical="center"/>
    </xf>
    <xf numFmtId="0" fontId="19" fillId="0" borderId="5" applyAlignment="1" pivotButton="0" quotePrefix="0" xfId="0">
      <alignment horizontal="center" vertical="center" wrapText="1"/>
    </xf>
    <xf numFmtId="1" fontId="20" fillId="0" borderId="5" applyAlignment="1" pivotButton="0" quotePrefix="0" xfId="0">
      <alignment horizontal="center" vertical="center" wrapText="1"/>
    </xf>
    <xf numFmtId="49" fontId="19" fillId="0" borderId="5" applyAlignment="1" pivotButton="0" quotePrefix="0" xfId="0">
      <alignment horizontal="center" vertical="center"/>
    </xf>
    <xf numFmtId="0" fontId="16" fillId="0" borderId="7" applyAlignment="1" pivotButton="0" quotePrefix="0" xfId="0">
      <alignment horizontal="center" vertical="center"/>
    </xf>
    <xf numFmtId="0" fontId="21" fillId="0" borderId="8" applyAlignment="1" pivotButton="0" quotePrefix="0" xfId="0">
      <alignment horizontal="general" vertical="center"/>
    </xf>
    <xf numFmtId="0" fontId="22" fillId="0" borderId="8" applyAlignment="1" pivotButton="0" quotePrefix="0" xfId="0">
      <alignment horizontal="center" vertical="center" wrapText="1"/>
    </xf>
    <xf numFmtId="0" fontId="22" fillId="0" borderId="8" applyAlignment="1" pivotButton="0" quotePrefix="0" xfId="0">
      <alignment horizontal="center" vertical="center"/>
    </xf>
    <xf numFmtId="0" fontId="23" fillId="0" borderId="8" applyAlignment="1" pivotButton="0" quotePrefix="0" xfId="0">
      <alignment horizontal="center" vertical="center" wrapText="1"/>
    </xf>
    <xf numFmtId="49" fontId="24" fillId="0" borderId="5" applyAlignment="1" pivotButton="0" quotePrefix="0" xfId="0">
      <alignment horizontal="center" vertical="center" wrapText="1"/>
    </xf>
    <xf numFmtId="1" fontId="24" fillId="0" borderId="8" applyAlignment="1" pivotButton="0" quotePrefix="0" xfId="0">
      <alignment horizontal="center" vertical="center"/>
    </xf>
    <xf numFmtId="2" fontId="24" fillId="0" borderId="8" applyAlignment="1" pivotButton="0" quotePrefix="0" xfId="0">
      <alignment horizontal="center" vertical="center"/>
    </xf>
    <xf numFmtId="4" fontId="24" fillId="0" borderId="8" applyAlignment="1" pivotButton="0" quotePrefix="0" xfId="0">
      <alignment horizontal="center" vertical="center"/>
    </xf>
    <xf numFmtId="0" fontId="0" fillId="0" borderId="0" applyAlignment="1" pivotButton="0" quotePrefix="0" xfId="0">
      <alignment horizontal="general" vertical="bottom" wrapText="1"/>
    </xf>
    <xf numFmtId="0" fontId="12" fillId="0" borderId="9" applyAlignment="1" pivotButton="0" quotePrefix="0" xfId="0">
      <alignment horizontal="left" vertical="center" wrapText="1"/>
    </xf>
    <xf numFmtId="0" fontId="12" fillId="0" borderId="0" applyAlignment="1" pivotButton="0" quotePrefix="0" xfId="0">
      <alignment horizontal="center" vertical="center"/>
    </xf>
    <xf numFmtId="0" fontId="10" fillId="0" borderId="0" applyAlignment="1" pivotButton="0" quotePrefix="0" xfId="0">
      <alignment horizontal="general" vertical="bottom" wrapText="1"/>
    </xf>
    <xf numFmtId="0" fontId="10" fillId="0" borderId="0" applyAlignment="1" pivotButton="0" quotePrefix="0" xfId="0">
      <alignment horizontal="general" vertical="bottom"/>
    </xf>
    <xf numFmtId="0" fontId="25" fillId="0" borderId="0" applyAlignment="1" pivotButton="0" quotePrefix="0" xfId="0">
      <alignment horizontal="left" vertical="center"/>
    </xf>
    <xf numFmtId="0" fontId="12" fillId="0" borderId="0" applyAlignment="1" pivotButton="0" quotePrefix="0" xfId="0">
      <alignment horizontal="left" vertical="center"/>
    </xf>
    <xf numFmtId="0" fontId="10" fillId="0" borderId="0" applyAlignment="1" pivotButton="0" quotePrefix="0" xfId="0">
      <alignment horizontal="left" vertical="center"/>
    </xf>
    <xf numFmtId="0" fontId="26" fillId="0" borderId="0" applyAlignment="1" pivotButton="0" quotePrefix="0" xfId="0">
      <alignment horizontal="general" vertical="center"/>
    </xf>
    <xf numFmtId="0" fontId="10" fillId="0" borderId="0" applyAlignment="1" pivotButton="0" quotePrefix="0" xfId="0">
      <alignment horizontal="left" vertical="top" wrapText="1"/>
    </xf>
    <xf numFmtId="0" fontId="10" fillId="0" borderId="0" applyAlignment="1" pivotButton="0" quotePrefix="0" xfId="0">
      <alignment horizontal="right" vertical="bottom" wrapText="1"/>
    </xf>
    <xf numFmtId="4" fontId="9" fillId="0" borderId="0" applyAlignment="1" pivotButton="0" quotePrefix="0" xfId="0">
      <alignment horizontal="left" vertical="bottom"/>
    </xf>
    <xf numFmtId="4" fontId="8" fillId="0" borderId="0" applyAlignment="1" pivotButton="0" quotePrefix="0" xfId="0">
      <alignment horizontal="left" vertical="bottom"/>
    </xf>
    <xf numFmtId="4" fontId="8" fillId="0" borderId="0" applyAlignment="1" pivotButton="0" quotePrefix="0" xfId="0">
      <alignment horizontal="general" vertical="bottom"/>
    </xf>
    <xf numFmtId="0" fontId="8" fillId="0" borderId="0" applyAlignment="1" pivotButton="0" quotePrefix="0" xfId="0">
      <alignment horizontal="left" vertical="bottom"/>
    </xf>
    <xf numFmtId="0" fontId="9" fillId="0" borderId="0" applyAlignment="1" pivotButton="0" quotePrefix="0" xfId="0">
      <alignment horizontal="left" vertical="bottom"/>
    </xf>
    <xf numFmtId="0" fontId="8" fillId="0" borderId="0" applyAlignment="1" pivotButton="0" quotePrefix="0" xfId="0">
      <alignment horizontal="center" vertical="center"/>
    </xf>
    <xf numFmtId="0" fontId="8" fillId="0" borderId="0" applyAlignment="1" pivotButton="0" quotePrefix="0" xfId="0">
      <alignment horizontal="center" vertical="bottom"/>
    </xf>
    <xf numFmtId="0" fontId="8" fillId="0" borderId="0" applyAlignment="1" pivotButton="0" quotePrefix="0" xfId="0">
      <alignment horizontal="general" vertical="bottom"/>
    </xf>
    <xf numFmtId="0" fontId="10" fillId="0" borderId="0" applyAlignment="1" pivotButton="0" quotePrefix="0" xfId="0">
      <alignment horizontal="left" vertical="center" wrapText="1"/>
    </xf>
    <xf numFmtId="0" fontId="10" fillId="0" borderId="0" applyAlignment="1" pivotButton="0" quotePrefix="0" xfId="0">
      <alignment horizontal="right" vertical="bottom"/>
    </xf>
    <xf numFmtId="0" fontId="10" fillId="0" borderId="0" applyAlignment="1" pivotButton="0" quotePrefix="0" xfId="0">
      <alignment horizontal="left" vertical="center"/>
    </xf>
    <xf numFmtId="0" fontId="11" fillId="0" borderId="0" applyAlignment="1" pivotButton="0" quotePrefix="0" xfId="0">
      <alignment horizontal="right" vertical="bottom"/>
    </xf>
    <xf numFmtId="0" fontId="12" fillId="0" borderId="0" applyAlignment="1" pivotButton="0" quotePrefix="0" xfId="0">
      <alignment horizontal="left" vertical="center" wrapText="1"/>
    </xf>
    <xf numFmtId="0" fontId="12" fillId="0" borderId="0" applyAlignment="1" pivotButton="0" quotePrefix="0" xfId="0">
      <alignment horizontal="right" vertical="center"/>
    </xf>
    <xf numFmtId="0" fontId="12" fillId="0" borderId="0" applyAlignment="1" pivotButton="0" quotePrefix="0" xfId="0">
      <alignment horizontal="left" vertical="bottom"/>
    </xf>
    <xf numFmtId="0" fontId="13" fillId="0" borderId="0" applyAlignment="1" pivotButton="0" quotePrefix="0" xfId="0">
      <alignment horizontal="left" vertical="bottom"/>
    </xf>
    <xf numFmtId="0" fontId="12" fillId="0" borderId="0" applyAlignment="1" pivotButton="0" quotePrefix="0" xfId="0">
      <alignment horizontal="center" vertical="bottom"/>
    </xf>
    <xf numFmtId="0" fontId="14" fillId="0" borderId="0" applyAlignment="1" pivotButton="0" quotePrefix="0" xfId="0">
      <alignment horizontal="left" vertical="bottom"/>
    </xf>
    <xf numFmtId="0" fontId="14" fillId="0" borderId="0" applyAlignment="1" pivotButton="0" quotePrefix="0" xfId="0">
      <alignment horizontal="center" vertical="bottom"/>
    </xf>
    <xf numFmtId="0" fontId="15" fillId="0" borderId="0" applyAlignment="1" pivotButton="0" quotePrefix="0" xfId="0">
      <alignment horizontal="left" vertical="bottom"/>
    </xf>
    <xf numFmtId="0" fontId="10" fillId="0" borderId="0" applyAlignment="1" pivotButton="0" quotePrefix="0" xfId="0">
      <alignment horizontal="left" vertical="bottom" wrapText="1"/>
    </xf>
    <xf numFmtId="164" fontId="10" fillId="0" borderId="0" applyAlignment="1" pivotButton="0" quotePrefix="0" xfId="0">
      <alignment horizontal="center" vertical="bottom"/>
    </xf>
    <xf numFmtId="164" fontId="10" fillId="0" borderId="0" applyAlignment="1" pivotButton="0" quotePrefix="0" xfId="0">
      <alignment horizontal="general" vertical="bottom"/>
    </xf>
    <xf numFmtId="0" fontId="10" fillId="0" borderId="0" applyAlignment="1" pivotButton="0" quotePrefix="0" xfId="0">
      <alignment horizontal="left" vertical="bottom"/>
    </xf>
    <xf numFmtId="164" fontId="11" fillId="0" borderId="0" applyAlignment="1" pivotButton="0" quotePrefix="0" xfId="0">
      <alignment horizontal="center" vertical="bottom"/>
    </xf>
    <xf numFmtId="0" fontId="11" fillId="0" borderId="0" applyAlignment="1" pivotButton="0" quotePrefix="0" xfId="0">
      <alignment horizontal="center" vertical="bottom" wrapText="1"/>
    </xf>
    <xf numFmtId="0" fontId="12" fillId="0" borderId="0" applyAlignment="1" pivotButton="0" quotePrefix="0" xfId="0">
      <alignment horizontal="left" vertical="top" wrapText="1"/>
    </xf>
    <xf numFmtId="0" fontId="12" fillId="0" borderId="0" applyAlignment="1" pivotButton="0" quotePrefix="0" xfId="0">
      <alignment horizontal="general" vertical="top" wrapText="1"/>
    </xf>
    <xf numFmtId="0" fontId="0" fillId="0" borderId="0" pivotButton="0" quotePrefix="0" xfId="0"/>
    <xf numFmtId="0" fontId="16" fillId="0" borderId="1" applyAlignment="1" pivotButton="0" quotePrefix="0" xfId="0">
      <alignment horizontal="center" vertical="center"/>
    </xf>
    <xf numFmtId="0" fontId="17" fillId="0" borderId="2"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2" applyAlignment="1" pivotButton="0" quotePrefix="0" xfId="0">
      <alignment horizontal="center" vertical="center" wrapText="1"/>
    </xf>
    <xf numFmtId="0" fontId="0" fillId="0" borderId="3" pivotButton="0" quotePrefix="0" xfId="0"/>
    <xf numFmtId="0" fontId="18" fillId="0" borderId="4" applyAlignment="1" pivotButton="0" quotePrefix="0" xfId="0">
      <alignment horizontal="center" vertical="center" wrapText="1"/>
    </xf>
    <xf numFmtId="0" fontId="19" fillId="0" borderId="5" applyAlignment="1" pivotButton="0" quotePrefix="0" xfId="0">
      <alignment horizontal="left" vertical="center" wrapText="1"/>
    </xf>
    <xf numFmtId="0" fontId="19" fillId="0" borderId="5" applyAlignment="1" pivotButton="0" quotePrefix="0" xfId="0">
      <alignment horizontal="center" vertical="center" wrapText="1"/>
    </xf>
    <xf numFmtId="0" fontId="20" fillId="0" borderId="5" applyAlignment="1" pivotButton="0" quotePrefix="0" xfId="0">
      <alignment horizontal="center" vertical="center" wrapText="1"/>
    </xf>
    <xf numFmtId="1" fontId="19" fillId="0" borderId="5" applyAlignment="1" pivotButton="0" quotePrefix="0" xfId="0">
      <alignment horizontal="center" vertical="center" wrapText="1"/>
    </xf>
    <xf numFmtId="2" fontId="20" fillId="0" borderId="5" applyAlignment="1" pivotButton="0" quotePrefix="0" xfId="0">
      <alignment horizontal="left" vertical="top" wrapText="1"/>
    </xf>
    <xf numFmtId="0" fontId="0" fillId="0" borderId="10" pivotButton="0" quotePrefix="0" xfId="0"/>
    <xf numFmtId="4" fontId="20" fillId="0" borderId="5" applyAlignment="1" pivotButton="0" quotePrefix="0" xfId="0">
      <alignment horizontal="center" vertical="center" wrapText="1"/>
    </xf>
    <xf numFmtId="0" fontId="0" fillId="0" borderId="6" applyAlignment="1" pivotButton="0" quotePrefix="0" xfId="0">
      <alignment horizontal="general" vertical="center"/>
    </xf>
    <xf numFmtId="0" fontId="0" fillId="0" borderId="0" applyAlignment="1" pivotButton="0" quotePrefix="0" xfId="0">
      <alignment horizontal="general" vertical="center"/>
    </xf>
    <xf numFmtId="1" fontId="20" fillId="0" borderId="5" applyAlignment="1" pivotButton="0" quotePrefix="0" xfId="0">
      <alignment horizontal="left" vertical="top" wrapText="1"/>
    </xf>
    <xf numFmtId="49" fontId="19" fillId="0" borderId="5" applyAlignment="1" pivotButton="0" quotePrefix="0" xfId="0">
      <alignment horizontal="center" vertical="center" wrapText="1"/>
    </xf>
    <xf numFmtId="0" fontId="16" fillId="0" borderId="7" applyAlignment="1" pivotButton="0" quotePrefix="0" xfId="0">
      <alignment horizontal="center" vertical="center"/>
    </xf>
    <xf numFmtId="0" fontId="21" fillId="0" borderId="8" applyAlignment="1" pivotButton="0" quotePrefix="0" xfId="0">
      <alignment horizontal="general" vertical="center"/>
    </xf>
    <xf numFmtId="0" fontId="22" fillId="0" borderId="8" applyAlignment="1" pivotButton="0" quotePrefix="0" xfId="0">
      <alignment horizontal="center" vertical="center" wrapText="1"/>
    </xf>
    <xf numFmtId="0" fontId="22" fillId="0" borderId="8" applyAlignment="1" pivotButton="0" quotePrefix="0" xfId="0">
      <alignment horizontal="center" vertical="center"/>
    </xf>
    <xf numFmtId="0" fontId="23" fillId="0" borderId="8" applyAlignment="1" pivotButton="0" quotePrefix="0" xfId="0">
      <alignment horizontal="center" vertical="center" wrapText="1"/>
    </xf>
    <xf numFmtId="49" fontId="24" fillId="0" borderId="5" applyAlignment="1" pivotButton="0" quotePrefix="0" xfId="0">
      <alignment horizontal="center" vertical="center" wrapText="1"/>
    </xf>
    <xf numFmtId="1" fontId="24" fillId="0" borderId="8" applyAlignment="1" pivotButton="0" quotePrefix="0" xfId="0">
      <alignment horizontal="center" vertical="center"/>
    </xf>
    <xf numFmtId="2" fontId="24" fillId="0" borderId="8" applyAlignment="1" pivotButton="0" quotePrefix="0" xfId="0">
      <alignment horizontal="center" vertical="center"/>
    </xf>
    <xf numFmtId="4" fontId="24" fillId="0" borderId="8" applyAlignment="1" pivotButton="0" quotePrefix="0" xfId="0">
      <alignment horizontal="center" vertical="center"/>
    </xf>
    <xf numFmtId="0" fontId="0" fillId="0" borderId="0" applyAlignment="1" pivotButton="0" quotePrefix="0" xfId="0">
      <alignment horizontal="general" vertical="bottom" wrapText="1"/>
    </xf>
    <xf numFmtId="0" fontId="12" fillId="0" borderId="9" applyAlignment="1" pivotButton="0" quotePrefix="0" xfId="0">
      <alignment horizontal="left" vertical="center" wrapText="1"/>
    </xf>
    <xf numFmtId="0" fontId="0" fillId="0" borderId="9" pivotButton="0" quotePrefix="0" xfId="0"/>
    <xf numFmtId="0" fontId="12" fillId="0" borderId="0" applyAlignment="1" pivotButton="0" quotePrefix="0" xfId="0">
      <alignment horizontal="center" vertical="center"/>
    </xf>
    <xf numFmtId="0" fontId="10" fillId="0" borderId="0" applyAlignment="1" pivotButton="0" quotePrefix="0" xfId="0">
      <alignment horizontal="general" vertical="bottom" wrapText="1"/>
    </xf>
    <xf numFmtId="0" fontId="10" fillId="0" borderId="0" applyAlignment="1" pivotButton="0" quotePrefix="0" xfId="0">
      <alignment horizontal="general" vertical="bottom"/>
    </xf>
    <xf numFmtId="0" fontId="25" fillId="0" borderId="0" applyAlignment="1" pivotButton="0" quotePrefix="0" xfId="0">
      <alignment horizontal="left" vertical="center"/>
    </xf>
    <xf numFmtId="0" fontId="12" fillId="0" borderId="0" applyAlignment="1" pivotButton="0" quotePrefix="0" xfId="0">
      <alignment horizontal="left" vertical="center"/>
    </xf>
    <xf numFmtId="0" fontId="26" fillId="0" borderId="0" applyAlignment="1" pivotButton="0" quotePrefix="0" xfId="0">
      <alignment horizontal="general" vertical="center"/>
    </xf>
    <xf numFmtId="0" fontId="10" fillId="0" borderId="0" applyAlignment="1" pivotButton="0" quotePrefix="0" xfId="0">
      <alignment horizontal="left" vertical="top" wrapText="1"/>
    </xf>
    <xf numFmtId="0" fontId="10" fillId="0" borderId="0" applyAlignment="1" pivotButton="0" quotePrefix="0" xfId="0">
      <alignment horizontal="right" vertical="bottom" wrapText="1"/>
    </xf>
    <xf numFmtId="4" fontId="9" fillId="0" borderId="0" applyAlignment="1" pivotButton="0" quotePrefix="0" xfId="0">
      <alignment horizontal="left" vertical="bottom"/>
    </xf>
    <xf numFmtId="4" fontId="8" fillId="0" borderId="0" applyAlignment="1" pivotButton="0" quotePrefix="0" xfId="0">
      <alignment horizontal="left" vertical="bottom"/>
    </xf>
    <xf numFmtId="4" fontId="8" fillId="0" borderId="0" applyAlignment="1" pivotButton="0" quotePrefix="0" xfId="0">
      <alignment horizontal="general" vertical="bottom"/>
    </xf>
  </cellXfs>
  <cellStyles count="19">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2 2" xfId="7"/>
    <cellStyle name="Normal 2 2 2" xfId="8"/>
    <cellStyle name="Normal 2 3" xfId="9"/>
    <cellStyle name="Normal_Sheet1" xfId="10"/>
    <cellStyle name="Обычный 2" xfId="11"/>
    <cellStyle name="Обычный 2 2" xfId="12"/>
    <cellStyle name="Обычный 3" xfId="13"/>
    <cellStyle name="Обычный 3 2" xfId="14"/>
    <cellStyle name="Обычный 4" xfId="15"/>
    <cellStyle name="Обычный 4 2" xfId="16"/>
    <cellStyle name="Обычный 5" xfId="17"/>
    <cellStyle name="Обычный 5 2" xfId="18"/>
  </cellStyles>
  <dxfs count="2">
    <dxf>
      <fill>
        <patternFill patternType="solid">
          <bgColor rgb="FF000000"/>
        </patternFill>
      </fill>
    </dxf>
    <dxf>
      <fill>
        <patternFill patternType="solid">
          <fgColor rgb="FF000000"/>
          <bgColor rgb="FF00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1">
    <outlinePr summaryBelow="0"/>
    <pageSetUpPr fitToPage="1"/>
  </sheetPr>
  <dimension ref="A1:O121"/>
  <sheetViews>
    <sheetView showFormulas="0" showGridLines="1" showRowColHeaders="1" showZeros="1" rightToLeft="0" tabSelected="1" showOutlineSymbols="1" defaultGridColor="1" view="normal" topLeftCell="G13" colorId="64" zoomScale="70" zoomScaleNormal="70" zoomScalePageLayoutView="50" workbookViewId="0">
      <selection pane="topLeft" activeCell="K16" activeCellId="0" sqref="K16"/>
    </sheetView>
  </sheetViews>
  <sheetFormatPr baseColWidth="8" defaultColWidth="10.5078125" defaultRowHeight="11.25" customHeight="1" zeroHeight="0" outlineLevelRow="0"/>
  <cols>
    <col width="8.83" customWidth="1" style="69" min="1" max="1"/>
    <col width="124.51" customWidth="1" style="70" min="2" max="2"/>
    <col width="30.51" customWidth="1" style="71" min="3" max="3"/>
    <col width="35" customWidth="1" style="72" min="4" max="4"/>
    <col width="31.33" customWidth="1" style="72" min="5" max="5"/>
    <col width="14.83" customWidth="1" style="69" min="6" max="6"/>
    <col width="32.83" customWidth="1" style="69" min="7" max="7"/>
    <col width="30.51" customWidth="1" style="69" min="8" max="8"/>
    <col width="22" customWidth="1" style="72" min="9" max="9"/>
    <col width="42.51" customWidth="1" style="69" min="10" max="10"/>
    <col width="36" customWidth="1" style="73" min="11" max="11"/>
    <col width="37.51" customWidth="1" style="73" min="12" max="12"/>
    <col width="10.5" customWidth="1" style="73" min="13" max="16384"/>
  </cols>
  <sheetData>
    <row r="1" ht="15.75" customFormat="1" customHeight="1" s="69">
      <c r="A1" s="74" t="inlineStr">
        <is>
          <t>ООО "КомБытТех"</t>
        </is>
      </c>
      <c r="G1" s="75" t="inlineStr">
        <is>
          <t>"KVN Group FZCO"</t>
        </is>
      </c>
      <c r="L1" s="69" t="n"/>
      <c r="M1" s="69" t="n"/>
      <c r="N1" s="69" t="n"/>
      <c r="O1" s="69" t="n"/>
    </row>
    <row r="2" ht="15.75" customFormat="1" customHeight="1" s="69">
      <c r="A2" s="76" t="inlineStr">
        <is>
          <t>"KomBytTech"</t>
        </is>
      </c>
      <c r="G2" s="77" t="n"/>
      <c r="L2" s="69" t="n"/>
      <c r="M2" s="69" t="n"/>
      <c r="N2" s="69" t="n"/>
      <c r="O2" s="69" t="n"/>
    </row>
    <row r="3" ht="14.25" customFormat="1" customHeight="1" s="69">
      <c r="A3" s="78" t="inlineStr">
        <is>
          <t>127410, Moscow, Altufyevsky Municipal District, 79A Altufyevskoye highway, building 3, room 6/3/2</t>
        </is>
      </c>
      <c r="G3" s="79" t="inlineStr">
        <is>
          <t>6WA 131, First Floor, 6 West A, Dubai Airport, UAE</t>
        </is>
      </c>
      <c r="L3" s="69" t="n"/>
      <c r="M3" s="69" t="n"/>
      <c r="N3" s="69" t="n"/>
      <c r="O3" s="69" t="n"/>
    </row>
    <row r="4" ht="12.75" customFormat="1" customHeight="1" s="69">
      <c r="A4" s="80" t="n"/>
      <c r="B4" s="81" t="n"/>
      <c r="C4" s="80" t="n"/>
      <c r="D4" s="82" t="n"/>
      <c r="E4" s="82" t="n"/>
      <c r="F4" s="80" t="n"/>
      <c r="G4" s="83" t="n"/>
      <c r="H4" s="83" t="n"/>
      <c r="I4" s="84" t="n"/>
      <c r="J4" s="83" t="n"/>
      <c r="L4" s="69" t="n"/>
      <c r="M4" s="69" t="n"/>
      <c r="N4" s="69" t="n"/>
      <c r="O4" s="69" t="n"/>
    </row>
    <row r="5" ht="12.75" customFormat="1" customHeight="1" s="85">
      <c r="A5" s="86" t="inlineStr">
        <is>
          <t xml:space="preserve">СПЕЦИФИКАЦИЯ                    </t>
        </is>
      </c>
      <c r="C5" s="87" t="inlineStr">
        <is>
          <t>№ 105 от 25.08.2026</t>
        </is>
      </c>
      <c r="E5" s="88" t="n"/>
      <c r="F5" s="88" t="n"/>
      <c r="G5" s="89" t="inlineStr">
        <is>
          <t>SPECIFICATION</t>
        </is>
      </c>
      <c r="H5" s="87" t="inlineStr">
        <is>
          <t>№ 105 dt. 25.08.2026</t>
        </is>
      </c>
      <c r="I5" s="90" t="n"/>
      <c r="J5" s="90" t="n"/>
      <c r="L5" s="85" t="n"/>
      <c r="M5" s="85" t="n"/>
      <c r="N5" s="85" t="n"/>
      <c r="O5" s="85" t="n"/>
    </row>
    <row r="6" ht="12.75" customFormat="1" customHeight="1" s="69">
      <c r="A6" s="89" t="inlineStr">
        <is>
          <t xml:space="preserve">по Коммерческому инвойсу     </t>
        </is>
      </c>
      <c r="C6" s="87" t="inlineStr">
        <is>
          <t>№ K466 от 26.08.2026</t>
        </is>
      </c>
      <c r="E6" s="88" t="n"/>
      <c r="F6" s="88" t="n"/>
      <c r="G6" s="89" t="inlineStr">
        <is>
          <t>to Commercial Invoice</t>
        </is>
      </c>
      <c r="H6" s="87" t="inlineStr">
        <is>
          <t>№ К466 dt. 26.08.2026</t>
        </is>
      </c>
      <c r="I6" s="91" t="n"/>
      <c r="J6" s="90" t="n"/>
      <c r="L6" s="69" t="n"/>
      <c r="M6" s="69" t="n"/>
      <c r="N6" s="69" t="n"/>
      <c r="O6" s="69" t="n"/>
    </row>
    <row r="7" ht="12.75" customFormat="1" customHeight="1" s="69">
      <c r="A7" s="89" t="inlineStr">
        <is>
          <t xml:space="preserve">к Контракту                           </t>
        </is>
      </c>
      <c r="C7" s="87" t="inlineStr">
        <is>
          <t>№ 010/2024 от 09.12.2024</t>
        </is>
      </c>
      <c r="E7" s="88" t="n"/>
      <c r="F7" s="88" t="n"/>
      <c r="G7" s="89" t="inlineStr">
        <is>
          <t>to Contract</t>
        </is>
      </c>
      <c r="H7" s="87" t="inlineStr">
        <is>
          <t>№ 010/2024 dt. 09.12.2024</t>
        </is>
      </c>
      <c r="I7" s="91" t="n"/>
      <c r="J7" s="90" t="n"/>
      <c r="L7" s="69" t="n"/>
      <c r="M7" s="69" t="n"/>
      <c r="N7" s="69" t="n"/>
      <c r="O7" s="69" t="n"/>
    </row>
    <row r="8" ht="12.75" customFormat="1" customHeight="1" s="69">
      <c r="A8" s="80" t="n"/>
      <c r="B8" s="81" t="n"/>
      <c r="C8" s="80" t="n"/>
      <c r="D8" s="82" t="n"/>
      <c r="E8" s="82" t="n"/>
      <c r="F8" s="80" t="n"/>
      <c r="G8" s="83" t="n"/>
      <c r="H8" s="83" t="n"/>
      <c r="I8" s="84" t="n"/>
      <c r="J8" s="83" t="n"/>
      <c r="L8" s="69" t="n"/>
      <c r="M8" s="69" t="n"/>
      <c r="N8" s="69" t="n"/>
      <c r="O8" s="69" t="n"/>
    </row>
    <row r="9" ht="15.75" customFormat="1" customHeight="1" s="69">
      <c r="A9" s="92" t="inlineStr">
        <is>
          <t>ООО «КомБытТех», именуемое в дальнейшем Покупатель, в лице Генерального директора Орловой Ирины Анатольевны, действующего на основании Устава, с  одной стороны, и компания «KVN Group FZCO», в дальнейшем именуемая Продавец, в лице Директора Jethro Lagare Malan, действующего на основании Устава, c другой стороны, договорились о поставке партии товара согласно настоящей спецификации.</t>
        </is>
      </c>
      <c r="C9" s="93" t="n"/>
      <c r="D9" s="93" t="n"/>
      <c r="E9" s="93" t="n"/>
      <c r="F9" s="93" t="n"/>
      <c r="G9" s="92" t="inlineStr">
        <is>
          <t>«KomBytTech»  hereinafter referred to as the Buyer represented by General Director Ms. Orlova I.A. acting pursuant to the Articles of Association, on the one hand, and the company «KVN Group FZCO», hereinafter referred to as the Seller, represented by its Director Mr. Jethro Lagare Malan, acting on the basis of the Articles of Association, on the other hand, have made this Specification on supplying the lot of the Goods as follows.</t>
        </is>
      </c>
      <c r="L9" s="69" t="n"/>
      <c r="M9" s="69" t="n"/>
      <c r="N9" s="69" t="n"/>
      <c r="O9" s="69" t="n"/>
    </row>
    <row r="10" ht="15.75" customFormat="1" customHeight="1" s="69">
      <c r="C10" s="93" t="n"/>
      <c r="D10" s="93" t="n"/>
      <c r="E10" s="93" t="n"/>
      <c r="F10" s="93" t="n"/>
      <c r="L10" s="69" t="n"/>
      <c r="M10" s="69" t="n"/>
      <c r="N10" s="69" t="n"/>
      <c r="O10" s="69" t="n"/>
    </row>
    <row r="11" ht="15.75" customFormat="1" customHeight="1" s="69">
      <c r="C11" s="93" t="n"/>
      <c r="D11" s="93" t="n"/>
      <c r="E11" s="93" t="n"/>
      <c r="F11" s="93" t="n"/>
      <c r="L11" s="69" t="n"/>
      <c r="M11" s="69" t="n"/>
      <c r="N11" s="69" t="n"/>
      <c r="O11" s="69" t="n"/>
    </row>
    <row r="12" ht="15.75" customFormat="1" customHeight="1" s="69">
      <c r="C12" s="93" t="n"/>
      <c r="D12" s="93" t="n"/>
      <c r="E12" s="93" t="n"/>
      <c r="F12" s="93" t="n"/>
      <c r="L12" s="69" t="n"/>
      <c r="M12" s="69" t="n"/>
      <c r="N12" s="69" t="n"/>
      <c r="O12" s="69" t="n"/>
    </row>
    <row r="13" ht="9.75" customFormat="1" customHeight="1" s="69">
      <c r="C13" s="93" t="n"/>
      <c r="D13" s="93" t="n"/>
      <c r="E13" s="93" t="n"/>
      <c r="F13" s="93" t="n"/>
      <c r="L13" s="69" t="n"/>
      <c r="M13" s="69" t="n"/>
      <c r="N13" s="69" t="n"/>
      <c r="O13" s="69" t="n"/>
    </row>
    <row r="14" ht="18.75" customFormat="1" customHeight="1" s="69">
      <c r="A14" s="80" t="inlineStr">
        <is>
          <t>1. Ассортимент и стоимость Товара:</t>
        </is>
      </c>
      <c r="B14" s="81" t="n"/>
      <c r="C14" s="80" t="n"/>
      <c r="D14" s="82" t="n"/>
      <c r="E14" s="82" t="n"/>
      <c r="F14" s="80" t="n"/>
      <c r="G14" s="80" t="inlineStr">
        <is>
          <t>1. Assortment and value of the Goods:</t>
        </is>
      </c>
      <c r="H14" s="80" t="n"/>
      <c r="I14" s="82" t="n"/>
      <c r="J14" s="80" t="n"/>
      <c r="L14" s="69" t="n"/>
      <c r="M14" s="69" t="n"/>
      <c r="N14" s="69" t="n"/>
      <c r="O14" s="69" t="n"/>
    </row>
    <row r="15" ht="46.5" customHeight="1" s="94">
      <c r="A15" s="95" t="inlineStr">
        <is>
          <t>№</t>
        </is>
      </c>
      <c r="B15" s="96" t="inlineStr">
        <is>
          <t>Описание товара/
Description of the goods</t>
        </is>
      </c>
      <c r="C15" s="97" t="inlineStr">
        <is>
          <t>Модель/ Model</t>
        </is>
      </c>
      <c r="D15" s="97" t="inlineStr">
        <is>
          <t>Страна происхождения/ Country of origin</t>
        </is>
      </c>
      <c r="E15" s="98" t="inlineStr">
        <is>
          <t>Артикул /Article</t>
        </is>
      </c>
      <c r="F15" s="98" t="inlineStr">
        <is>
          <t>Серийный номер / Serial Number</t>
        </is>
      </c>
      <c r="G15" s="99" t="n"/>
      <c r="H15" s="98" t="inlineStr">
        <is>
          <t>Количество шт. / Quantity pcs.</t>
        </is>
      </c>
      <c r="I15" s="98" t="inlineStr">
        <is>
          <t>Цена за единицу Дирхам ОАЭ /
Unit price AED</t>
        </is>
      </c>
      <c r="J15" s="98" t="inlineStr">
        <is>
          <t>Сумма Дирхам ОАЭ /
Amount AED</t>
        </is>
      </c>
      <c r="L15" s="73" t="n"/>
      <c r="M15" s="73" t="n"/>
      <c r="N15" s="73" t="n"/>
      <c r="O15" s="73" t="n"/>
    </row>
    <row r="16" ht="30" customHeight="1" s="94">
      <c r="A16" s="100" t="n">
        <v>1</v>
      </c>
      <c r="B16" s="101" t="inlineStr">
        <is>
          <t>Портативный персональный компьютер торговой марки MacBook Pro 16" "Черный" (M5 Pro 18C CPU, 20C GPU/24Gb/1Tb SSD) (MGEA4LL/A) / Apple MacBook Pro 16" Space Black (M5 Pro 18C CPU, 20C GPU/24Gb/1Tb SSD) (MGEA4LL/A)</t>
        </is>
      </c>
      <c r="C16" s="102" t="inlineStr">
        <is>
          <t>A3428</t>
        </is>
      </c>
      <c r="D16" s="103" t="inlineStr">
        <is>
          <t>Vietnam</t>
        </is>
      </c>
      <c r="E16" s="104" t="inlineStr">
        <is>
          <t>MGEA4LL/A</t>
        </is>
      </c>
      <c r="F16" s="105" t="inlineStr">
        <is>
          <t>F2HQ275JY2
GQ4WTQKKVM
DDF965FWVH
GP2DLP77V9
F9KQPJ4LNF
DYJNDQTRQF
F5W6Q0Y7XK
C6D47LW46N
G693GF6RC7
D16JRMQ6N7
D2G71RQ393
K9H024QQ7H
F09NDCJY7H
D19F6Q05K9
LMVQ0K9YFN
JY62L3Y0JF
FQFYG7XQ62
JK7F959Y9W
MXDGGXHQQY
MXPK65HJPL
JCG23LGKX3
F71CF9PYNH
FH97KJ9W6J
FC270TNWN7
C74LD49KX6
F6LLQPV4FC
FP6Q39K703
DJ6Y0JX46M
R677VRH6XM
DTQ24W6MM7
G73L66N59J
FT6HGX125T
K4WT6G2979
G614YJ56GN
D7D2J4WH2D</t>
        </is>
      </c>
      <c r="G16" s="106" t="n"/>
      <c r="H16" s="102" t="n">
        <v>35</v>
      </c>
      <c r="I16" s="107" t="n">
        <v>10240.37</v>
      </c>
      <c r="J16" s="107" t="n">
        <v>358412.95</v>
      </c>
      <c r="K16" s="108" t="n"/>
      <c r="L16" s="109" t="n"/>
      <c r="M16" s="109" t="n"/>
    </row>
    <row r="17" ht="30" customHeight="1" s="94">
      <c r="A17" s="100" t="n">
        <v>2</v>
      </c>
      <c r="B17" s="101" t="inlineStr">
        <is>
          <t>Портативный персональный компьютер торговой марки Apple MacBook Pro 16" "Серебристый" (M5 Pro 18C CPU, 20C GPU/48Gb/1Tb SSD) (MGE64LL/A) / Apple MacBook Pro 16" Silver (M5 Pro 18C CPU, 20C GPU/48Gb/1Tb SSD) (MGE64LL/A)</t>
        </is>
      </c>
      <c r="C17" s="102" t="inlineStr">
        <is>
          <t>A3428</t>
        </is>
      </c>
      <c r="D17" s="103" t="inlineStr">
        <is>
          <t>Vietnam</t>
        </is>
      </c>
      <c r="E17" s="104" t="inlineStr">
        <is>
          <t>MGE64LL/A</t>
        </is>
      </c>
      <c r="F17" s="105" t="inlineStr">
        <is>
          <t>D4JTFGF40C
G25F0QQRVC
XM4NFH9073
PP6K3QM9FH
GR2FDWFY2V
GXR21M6091
DWDQRY497C
V6GX59YGFK
HH4QQTH9QW
DJM4TCP7TQ</t>
        </is>
      </c>
      <c r="G17" s="106" t="n"/>
      <c r="H17" s="102" t="n">
        <v>10</v>
      </c>
      <c r="I17" s="107" t="n">
        <v>11678.02</v>
      </c>
      <c r="J17" s="107" t="n">
        <v>116780.2</v>
      </c>
      <c r="K17" s="108" t="n"/>
      <c r="L17" s="109" t="n"/>
      <c r="M17" s="109" t="n"/>
    </row>
    <row r="18" ht="30" customHeight="1" s="94">
      <c r="A18" s="100" t="n">
        <v>3</v>
      </c>
      <c r="B18" s="101" t="inlineStr">
        <is>
          <t>Портативный персональный компьютер торговой марки Apple MacBook Pro 16" "Серебристый" (M5 Pro 18C CPU, 20C GPU/24Gb/1Tb SSD) (MGE44LL/A) / Apple MacBook Pro 16" Silver (M5 Pro 18C CPU, 20C GPU/24Gb/1Tb SSD) (MGE44LL/A)</t>
        </is>
      </c>
      <c r="C18" s="102" t="inlineStr">
        <is>
          <t>A3428</t>
        </is>
      </c>
      <c r="D18" s="103" t="inlineStr">
        <is>
          <t>Vietnam</t>
        </is>
      </c>
      <c r="E18" s="104" t="inlineStr">
        <is>
          <t>MGE44LL/A</t>
        </is>
      </c>
      <c r="F18" s="105" t="inlineStr">
        <is>
          <t>MP36KP6071
L9K1H9F021
JQX7QXR2C3
MQ1XH4PHXD
MH94YH7RLW
K1VY2Q91K6
LTYG444VM9
G33130Y7RD
LVHV4H7DPW
MYHXGLFWYV
HWGFW4G9XP
MQC5HPHCJP
G2XNC9XFQG
LVY6J5C2T0
MX4RVJ62N4
MFK00KL7NG
LPCJWLRQ60
M9796PQKG7
L6L76GXC7Y
MW6G1032V1
GHX3V2GWF6
G6MYNPWH62
L641F9QYMX
HWJRGHF4QX
MP7HNQN7XD
GFXLKGPG3W
CQYNP90QWW
MWCPXJC4N2
FJ2473DG33
M7PL65629N</t>
        </is>
      </c>
      <c r="G18" s="106" t="n"/>
      <c r="H18" s="102" t="n">
        <v>30</v>
      </c>
      <c r="I18" s="107" t="n">
        <v>10236.94</v>
      </c>
      <c r="J18" s="107" t="n">
        <v>307108.2</v>
      </c>
      <c r="K18" s="108" t="n"/>
      <c r="L18" s="109" t="n"/>
      <c r="M18" s="109" t="n"/>
    </row>
    <row r="19" ht="30" customHeight="1" s="94">
      <c r="A19" s="100" t="n">
        <v>4</v>
      </c>
      <c r="B19" s="101" t="inlineStr">
        <is>
          <t>Портативный персональный компьютер торговой марки Apple MacBook Pro 14" "Черный" (M5 Pro 15C CPU, 16C GPU/48Gb/1TB SSD) (Z1ML001V2) / Apple MacBook Pro 14" Space Black (M5 Pro 15C CPU, 16C GPU/48Gb/1TB SSD) (Z1ML001V2)</t>
        </is>
      </c>
      <c r="C19" s="102" t="inlineStr">
        <is>
          <t>A3426</t>
        </is>
      </c>
      <c r="D19" s="103" t="inlineStr">
        <is>
          <t>China</t>
        </is>
      </c>
      <c r="E19" s="104" t="inlineStr">
        <is>
          <t>Z1ML001V2</t>
        </is>
      </c>
      <c r="F19" s="105" t="inlineStr">
        <is>
          <t>L6GTHQ4JYT</t>
        </is>
      </c>
      <c r="G19" s="106" t="n"/>
      <c r="H19" s="102" t="n">
        <v>1</v>
      </c>
      <c r="I19" s="107" t="n">
        <v>10533.08</v>
      </c>
      <c r="J19" s="107" t="n">
        <v>10533.08</v>
      </c>
      <c r="K19" s="108" t="n"/>
      <c r="L19" s="109" t="n"/>
      <c r="M19" s="109" t="n"/>
    </row>
    <row r="20" ht="30" customHeight="1" s="94">
      <c r="A20" s="100" t="n">
        <v>5</v>
      </c>
      <c r="B20" s="101" t="inlineStr">
        <is>
          <t>Портативный персональный компьютер торговой марки Apple MacBook Pro 14" "Черный" (M5 10C CPU, 10C GPU/24Gb/1TB SSD) (MDE34LL/A) / Apple MacBook Pro 14" Space Black (M5 10C CPU, 10C GPU/24Gb/1TB SSD) (MDE34LL/A)</t>
        </is>
      </c>
      <c r="C20" s="102" t="inlineStr">
        <is>
          <t>A3434</t>
        </is>
      </c>
      <c r="D20" s="103" t="inlineStr">
        <is>
          <t>Vietnam</t>
        </is>
      </c>
      <c r="E20" s="102" t="inlineStr">
        <is>
          <t>MDE34LL/A</t>
        </is>
      </c>
      <c r="F20" s="105" t="inlineStr">
        <is>
          <t>LNK6XL54QD
J1K6WCXCVV
HK4M466WQH</t>
        </is>
      </c>
      <c r="G20" s="106" t="n"/>
      <c r="H20" s="102" t="n">
        <v>3</v>
      </c>
      <c r="I20" s="107" t="n">
        <v>7559.82</v>
      </c>
      <c r="J20" s="107" t="n">
        <v>22679.46</v>
      </c>
      <c r="K20" s="108" t="n"/>
      <c r="L20" s="109" t="n"/>
      <c r="M20" s="109" t="n"/>
    </row>
    <row r="21" ht="30" customHeight="1" s="94">
      <c r="A21" s="100" t="n">
        <v>6</v>
      </c>
      <c r="B21" s="101" t="inlineStr">
        <is>
          <t>Портативный персональный компьютер торговой марки Apple MacBook Pro 14" "Серебристый" (M5 Pro 18C CPU, 20C GPU/48Gb/1TB SSD) (Z1MH0007W) / Apple MacBook Pro 14" Silver (M5 Pro 18C CPU, 20C GPU/48Gb/1TB SSD) (Z1MH0007W)</t>
        </is>
      </c>
      <c r="C21" s="102" t="inlineStr">
        <is>
          <t>A3426</t>
        </is>
      </c>
      <c r="D21" s="103" t="inlineStr">
        <is>
          <t>China</t>
        </is>
      </c>
      <c r="E21" s="104" t="inlineStr">
        <is>
          <t>Z1MH0007W</t>
        </is>
      </c>
      <c r="F21" s="105" t="inlineStr">
        <is>
          <t>MP2Q6T4VNN
JY0F72TV4H
GJ9C4HHPQM
LHQMV0CJQL
HF6DYQWT1W</t>
        </is>
      </c>
      <c r="G21" s="106" t="n"/>
      <c r="H21" s="102" t="n">
        <v>5</v>
      </c>
      <c r="I21" s="107" t="n">
        <v>11280.17</v>
      </c>
      <c r="J21" s="107" t="n">
        <v>56400.85</v>
      </c>
      <c r="K21" s="108" t="n"/>
      <c r="L21" s="109" t="n"/>
      <c r="M21" s="109" t="n"/>
    </row>
    <row r="22" ht="30" customHeight="1" s="94">
      <c r="A22" s="100" t="n">
        <v>7</v>
      </c>
      <c r="B22" s="101" t="inlineStr">
        <is>
          <t>Портативный персональный компьютер торговой марки Apple MacBook Air 15" "Серебристый" (M5 10C CPU, 10C GPU/24Gb/512Gb SSD) (Z1LQ00008) / Apple MacBook Air 15" Silver (M5 10C CPU, 10C GPU/24Gb/512Gb SSD) (Z1LQ00008)</t>
        </is>
      </c>
      <c r="C22" s="102" t="inlineStr">
        <is>
          <t>A3448</t>
        </is>
      </c>
      <c r="D22" s="103" t="inlineStr">
        <is>
          <t>Vietnam</t>
        </is>
      </c>
      <c r="E22" s="104" t="inlineStr">
        <is>
          <t>Z1LQ00008</t>
        </is>
      </c>
      <c r="F22" s="110" t="inlineStr">
        <is>
          <t>PJV001F907
DYL62K2FDF
HTW5D49M6G
N4X9LGC616
W6047WHDQ7
Q4K54CQ79M
C3941VFQQP
JVPQ0KDQG0
LX26NKM407
Y1CY5J9FYV
J7RXWG0QWF
WL49T9JRY1
R6NMPJH23C
T9K2DGP32J
WRQD4FG4FF
D93YJYTWKR
J9M34R5XCG
YYHGHG00G1
VW7MPG75WY
Y6LYG929QR
N94Q2CQC4Y
N7D272VX06
PWK6HW9NQ0
Y6TQ2WJXN3
YPMHWF5JTG
WFXW9NV9PQ
JP46MT47GC
WVLQ509N0V
HYDYQ3YQ7R
F9FQ122HQF</t>
        </is>
      </c>
      <c r="G22" s="106" t="n"/>
      <c r="H22" s="102" t="n">
        <v>30</v>
      </c>
      <c r="I22" s="107" t="n">
        <v>5866.32</v>
      </c>
      <c r="J22" s="107" t="n">
        <v>175989.6</v>
      </c>
      <c r="K22" s="108" t="n"/>
      <c r="L22" s="109" t="n"/>
      <c r="M22" s="109" t="n"/>
    </row>
    <row r="23" ht="30" customHeight="1" s="94">
      <c r="A23" s="100" t="n">
        <v>8</v>
      </c>
      <c r="B23" s="101" t="inlineStr">
        <is>
          <t>Портативный персональный компьютер торговой марки Apple MacBook Air 15" "Серебристый" (M5 10C CPU, 10C GPU/16Gb/512Gb SSD) (MDV94ZA/A) / Apple MacBook Air 15" Silver (M5 10C CPU, 10C GPU/16Gb/512Gb SSD) (MDV94ZA/A)</t>
        </is>
      </c>
      <c r="C23" s="102" t="inlineStr">
        <is>
          <t>A3448</t>
        </is>
      </c>
      <c r="D23" s="103" t="inlineStr">
        <is>
          <t>China</t>
        </is>
      </c>
      <c r="E23" s="104" t="inlineStr">
        <is>
          <t>MDV94ZA/A</t>
        </is>
      </c>
      <c r="F23" s="105" t="inlineStr">
        <is>
          <t>KTHGMH66D7</t>
        </is>
      </c>
      <c r="G23" s="106" t="n"/>
      <c r="H23" s="102" t="n">
        <v>1</v>
      </c>
      <c r="I23" s="107" t="n">
        <v>5323.14</v>
      </c>
      <c r="J23" s="107" t="n">
        <v>5323.14</v>
      </c>
      <c r="K23" s="108" t="n"/>
      <c r="L23" s="109" t="n"/>
      <c r="M23" s="109" t="n"/>
    </row>
    <row r="24" ht="30" customHeight="1" s="94">
      <c r="A24" s="100" t="n">
        <v>9</v>
      </c>
      <c r="B24" s="101" t="inlineStr">
        <is>
          <t>Портативный персональный компьютер торговой марки Apple MacBook Air 15" "Темная ночь" (M5 10C CPU, 10C GPU/24Gb/512Gb SSD/40W) (Z1LW00008) / Apple MacBook Air 15" Midnight (M5 10C CPU, 10C GPU/24Gb/512Gb SSD/40W) (Z1LW00008)</t>
        </is>
      </c>
      <c r="C24" s="102" t="inlineStr">
        <is>
          <t>A3448</t>
        </is>
      </c>
      <c r="D24" s="103" t="inlineStr">
        <is>
          <t>Vietnam</t>
        </is>
      </c>
      <c r="E24" s="104" t="inlineStr">
        <is>
          <t>Z1LW00008</t>
        </is>
      </c>
      <c r="F24" s="105" t="inlineStr">
        <is>
          <t>VK667MP4G0
JRP44VF646</t>
        </is>
      </c>
      <c r="G24" s="106" t="n"/>
      <c r="H24" s="102" t="n">
        <v>2</v>
      </c>
      <c r="I24" s="107" t="n">
        <v>5891.89</v>
      </c>
      <c r="J24" s="107" t="n">
        <v>11783.78</v>
      </c>
      <c r="K24" s="108" t="n"/>
      <c r="L24" s="109" t="n"/>
      <c r="M24" s="109" t="n"/>
    </row>
    <row r="25" ht="30" customHeight="1" s="94">
      <c r="A25" s="100" t="n">
        <v>10</v>
      </c>
      <c r="B25" s="101" t="inlineStr">
        <is>
          <t>Портативный персональный компьютер торговой марки Apple MacBook Air 15" "Темная ночь" (M5 10C CPU, 10C GPU/16Gb/512Gb SSD) (MDVH4ZA/A) / Apple MacBook Air 15" Midnight (M5 10C CPU, 10C GPU/16Gb/512Gb SSD) (MDVH4ZA/A)</t>
        </is>
      </c>
      <c r="C25" s="102" t="inlineStr">
        <is>
          <t>A3448</t>
        </is>
      </c>
      <c r="D25" s="103" t="inlineStr">
        <is>
          <t>China</t>
        </is>
      </c>
      <c r="E25" s="104" t="inlineStr">
        <is>
          <t>MDVH4ZA/A</t>
        </is>
      </c>
      <c r="F25" s="105" t="inlineStr">
        <is>
          <t>H240P6QJ92
H54CQ22659
H30VFXF33R
G02MXF4HFH
HCGPL9W1MJ
H0XMQ7VF54
GWG9L2NYHW
H5Y9M6C70T
G9TC4C9JWQ
H63CFH09LW
H7MVVXJQ4C
GQYH62FYFF
GYLWWQ2FVG
H6K5VQ6V60
GQW5YXXYG5
H2W3W2JG92
GQC6PV27HT
H4622KXP32
H6QQR2G07V
FN4J5PW73M
GWG19RCQGN
H5C4964PVF
H0WCJJXQTJ</t>
        </is>
      </c>
      <c r="G25" s="106" t="n"/>
      <c r="H25" s="102" t="n">
        <v>23</v>
      </c>
      <c r="I25" s="107" t="n">
        <v>5323.14</v>
      </c>
      <c r="J25" s="107" t="n">
        <v>122432.22</v>
      </c>
      <c r="K25" s="108" t="n"/>
      <c r="L25" s="109" t="n"/>
      <c r="M25" s="109" t="n"/>
    </row>
    <row r="26" ht="30" customHeight="1" s="94">
      <c r="A26" s="100" t="n">
        <v>11</v>
      </c>
      <c r="B26" s="101" t="inlineStr">
        <is>
          <t>Портативный персональный компьютер торговой марки Apple Mac Mini "Серебристый" (M4, 10C CPU, 10C GPU/16Gb/256Gb SSD) (MU9D3LL/A) / Apple Mac Mini Silver (M4, 10C CPU, 10C GPU/16Gb/256Gb SSD) (MU9D3LL/A)</t>
        </is>
      </c>
      <c r="C26" s="102" t="inlineStr">
        <is>
          <t>A3238</t>
        </is>
      </c>
      <c r="D26" s="103" t="inlineStr">
        <is>
          <t>Vietnam</t>
        </is>
      </c>
      <c r="E26" s="102" t="inlineStr">
        <is>
          <t>MU9D3LL/A</t>
        </is>
      </c>
      <c r="F26" s="105" t="inlineStr">
        <is>
          <t>F0J1Q4942K
DNH542426W
VN4741C9XJ</t>
        </is>
      </c>
      <c r="G26" s="106" t="n"/>
      <c r="H26" s="102" t="n">
        <v>3</v>
      </c>
      <c r="I26" s="107" t="n">
        <v>2832.61</v>
      </c>
      <c r="J26" s="107" t="n">
        <v>8497.83</v>
      </c>
      <c r="K26" s="108" t="n"/>
      <c r="L26" s="109" t="n"/>
      <c r="M26" s="109" t="n"/>
    </row>
    <row r="27" ht="30" customHeight="1" s="94">
      <c r="A27" s="100" t="n">
        <v>12</v>
      </c>
      <c r="B27" s="101" t="inlineStr">
        <is>
          <t>Телефонный мобильный аппарат торговой марки Apple iPhone 17 Pro Max 512Gb "Темно-синий" (MFYU4ZA/A) / Apple iPhone 17 Pro Max 512Gb Deep Blue (MFYU4ZA/A)</t>
        </is>
      </c>
      <c r="C27" s="102" t="inlineStr">
        <is>
          <t>A3526</t>
        </is>
      </c>
      <c r="D27" s="103" t="inlineStr">
        <is>
          <t>China</t>
        </is>
      </c>
      <c r="E27" s="104" t="inlineStr">
        <is>
          <t>MFYU4ZA/A</t>
        </is>
      </c>
      <c r="F27" s="105" t="inlineStr">
        <is>
          <t>352006890561682
355948390985589
352006891018492</t>
        </is>
      </c>
      <c r="G27" s="106" t="n"/>
      <c r="H27" s="102" t="n">
        <v>3</v>
      </c>
      <c r="I27" s="107" t="n">
        <v>5367.43</v>
      </c>
      <c r="J27" s="107" t="n">
        <v>16102.29</v>
      </c>
      <c r="K27" s="108" t="n"/>
      <c r="L27" s="109" t="n"/>
      <c r="M27" s="109" t="n"/>
    </row>
    <row r="28" ht="30" customHeight="1" s="94">
      <c r="A28" s="100" t="n">
        <v>13</v>
      </c>
      <c r="B28" s="101" t="inlineStr">
        <is>
          <t>Телефонный мобильный аппарат торговой марки Apple iPhone 17 Pro Max 512Gb "Космический оранжевый" (MFYT4ZA/A) / Apple iPhone 17 Pro Max 512Gb Cosmic Orange (MFYT4ZA/A)</t>
        </is>
      </c>
      <c r="C28" s="102" t="inlineStr">
        <is>
          <t>A3526</t>
        </is>
      </c>
      <c r="D28" s="103" t="inlineStr">
        <is>
          <t>China</t>
        </is>
      </c>
      <c r="E28" s="102" t="inlineStr">
        <is>
          <t>MFYT4ZA/A</t>
        </is>
      </c>
      <c r="F28" s="110" t="inlineStr">
        <is>
          <t>355948391718450</t>
        </is>
      </c>
      <c r="G28" s="106" t="n"/>
      <c r="H28" s="102" t="n">
        <v>1</v>
      </c>
      <c r="I28" s="107" t="n">
        <v>5316.28</v>
      </c>
      <c r="J28" s="107" t="n">
        <v>5316.28</v>
      </c>
      <c r="K28" s="108" t="n"/>
      <c r="L28" s="109" t="n"/>
      <c r="M28" s="109" t="n"/>
    </row>
    <row r="29" ht="30" customHeight="1" s="94">
      <c r="A29" s="100" t="n">
        <v>14</v>
      </c>
      <c r="B29" s="101" t="inlineStr">
        <is>
          <t>Планшетный компьютер торговой марки Apple iPad Pro 11" (M5) Wi-Fi 256Gb with Standard glass "Черный" (MDWK4LL/A) / Apple iPad Pro 11" (M5) Wi-Fi 256Gb with Standard glass Space Black (MDWK4LL/A)</t>
        </is>
      </c>
      <c r="C29" s="102" t="inlineStr">
        <is>
          <t>A3357</t>
        </is>
      </c>
      <c r="D29" s="103" t="inlineStr">
        <is>
          <t>Vietnam</t>
        </is>
      </c>
      <c r="E29" s="104" t="inlineStr">
        <is>
          <t>MDWK4LL/A</t>
        </is>
      </c>
      <c r="F29" s="105" t="inlineStr">
        <is>
          <t>KF2GH994G4</t>
        </is>
      </c>
      <c r="G29" s="106" t="n"/>
      <c r="H29" s="102" t="n">
        <v>1</v>
      </c>
      <c r="I29" s="107" t="n">
        <v>3938.26</v>
      </c>
      <c r="J29" s="107" t="n">
        <v>3938.26</v>
      </c>
      <c r="K29" s="108" t="n"/>
      <c r="L29" s="109" t="n"/>
      <c r="M29" s="109" t="n"/>
    </row>
    <row r="30" ht="30" customHeight="1" s="94">
      <c r="A30" s="100" t="n">
        <v>15</v>
      </c>
      <c r="B30" s="101" t="inlineStr">
        <is>
          <t>Планшетный компьютер торговой марки Apple iPad Air 11" (M4) Wi-Fi 128Gb "Сияющая звезда" (MH334LL/A) / Apple iPad Air 11" (M4) Wi-Fi 128Gb Starlight (MH334LL/A)</t>
        </is>
      </c>
      <c r="C30" s="102" t="inlineStr">
        <is>
          <t>A3459</t>
        </is>
      </c>
      <c r="D30" s="103" t="inlineStr">
        <is>
          <t>Vietnam</t>
        </is>
      </c>
      <c r="E30" s="104" t="inlineStr">
        <is>
          <t>MH334LL/A</t>
        </is>
      </c>
      <c r="F30" s="105" t="inlineStr">
        <is>
          <t>FV43PNFW5X</t>
        </is>
      </c>
      <c r="G30" s="106" t="n"/>
      <c r="H30" s="102" t="n">
        <v>1</v>
      </c>
      <c r="I30" s="107" t="n">
        <v>2476.39</v>
      </c>
      <c r="J30" s="107" t="n">
        <v>2476.39</v>
      </c>
      <c r="K30" s="108" t="n"/>
      <c r="L30" s="109" t="n"/>
      <c r="M30" s="109" t="n"/>
    </row>
    <row r="31" ht="30" customHeight="1" s="94">
      <c r="A31" s="100" t="n">
        <v>16</v>
      </c>
      <c r="B31" s="101" t="inlineStr">
        <is>
          <t>Планшетный компьютер торговой марки Apple iPad Air 11" (M4) Wi-Fi + Cellular 256Gb "Серый космос" (MH7D4ZP/A) / Apple iPad Air 11" (M4) Wi-Fi + Cellular 256Gb Space Grey (MH7D4ZP/A)</t>
        </is>
      </c>
      <c r="C31" s="102" t="inlineStr">
        <is>
          <t>A3460</t>
        </is>
      </c>
      <c r="D31" s="103" t="inlineStr">
        <is>
          <t>Vietnam</t>
        </is>
      </c>
      <c r="E31" s="104" t="inlineStr">
        <is>
          <t>MH7D4ZP/A</t>
        </is>
      </c>
      <c r="F31" s="105" t="inlineStr">
        <is>
          <t>HQ22W2PMY4
G2RN6HM2NH
H7JQ4G4D9F
JC2Q249CV0
CXJ9W52VQ2
DYQHTHX0VY
KGX1255QG1
D7LR7GG6Q2
MM9PP9K56Y
K16V69HTV0
L6WDP70JN2
H9NVKXPC9H
D933YDQH2Y
F32NL959DQ
J1Q3JC04PX
JR31P4M42R
JX2X4W2HYG
HHYCVF9YWD
C7W93KX4CY
G7C27WCQ0X
LXVFVJ241R
KXCFG7W3H5
F766FVQ3N6
L2C666KY9J
HHW64RX767
C6R2D9Y9PN
J2R5WVQWF0
K19KY74G71
FMH6P1QV14
DKLV6J9H97</t>
        </is>
      </c>
      <c r="G31" s="106" t="n"/>
      <c r="H31" s="102" t="n">
        <v>30</v>
      </c>
      <c r="I31" s="107" t="n">
        <v>3493.97</v>
      </c>
      <c r="J31" s="107" t="n">
        <v>104819.1</v>
      </c>
      <c r="K31" s="108" t="n"/>
      <c r="L31" s="109" t="n"/>
      <c r="M31" s="109" t="n"/>
    </row>
    <row r="32" ht="30" customHeight="1" s="94">
      <c r="A32" s="100" t="n">
        <v>17</v>
      </c>
      <c r="B32" s="101" t="inlineStr">
        <is>
          <t>Планшетный компьютер торговой марки Apple iPad Air 11" (M4) Wi-Fi + Cellular 128Gb "Серый космос" (MH784ZP/A) / Apple iPad Air 11" (M4) Wi-Fi + Cellular 128Gb Space Grey (MH784ZP/A)</t>
        </is>
      </c>
      <c r="C32" s="102" t="inlineStr">
        <is>
          <t>A3460</t>
        </is>
      </c>
      <c r="D32" s="103" t="inlineStr">
        <is>
          <t>China</t>
        </is>
      </c>
      <c r="E32" s="104" t="inlineStr">
        <is>
          <t>MH784ZP/A</t>
        </is>
      </c>
      <c r="F32" s="105" t="inlineStr">
        <is>
          <t>L6GJ74QYJH
L6KGLFGXT0
K7KD464X6C
JK9D7W9XTP
GV46C62443
MNVFHR6Y7V
D6W2246V3P
DJYCQ3CH7K
H62NCY65YQ
HM9T3J203T
MJY0QWG120
FWRQJY4QLC
GJTH6KC9CP
H6GJ6J27CT
KQ5R9XNQ0P
LT639XGL73
FJJF9GVCWF
L4FYQ4VNYF
M19HWK7F4V
M460XDDG37
MH636GJDX1
DWQMPPQ9L1
G4GPKV64TP
JLFWYH0F2Q
KPHP7T992H
LYKVQCWDGT
CYXRGW7RCP
FWTPYH2NQ7
H65H24DWJD
G4L44DFN2N
C9KM26WT27
CDVJ2CMWJN
K4WDWVJQHW
KG230FPMWQ
M4XWNLCM2V
CN6J4LT7NF
D397RQLNKG
F0XWVD7HJD
KY0KG7PN40
MFX2301HCX
CY73VW6QYF
CQ4FH9R9QT
GP7FQLM9V6
HHPJGT9HFP
LJP2G7VRPH
D42VJ74GX5
G4PHWQTYXC
GQ43VD2GV6
HR60MKQ2MH
KYFRXVHGX2
D0QQGHW4HV
GQ67230DXJ
H2QJR2T43F
DDGGK7M9G9
LC25F2XY40
MGTXVPG3QD
C3Y3KWWJ4P
D69V773T9V
HQ9FT967HF
M7QDJ06XJK
MYKMXH7170
GM40X2LY2R
J16726CJ29
K7596WGWVW
KH2H32TGYY
MVGXVCJ9F1
MVQX9Y7G3P
FFX6JTGYDL
HC60YX3612
J7WX55F916
HTX3N466MX
HQFLQQ61VR
KDWJ67RRK2
CQLJL6LGK2
DW0769912M
FL2F52RP4G
G2W560KJGK
J25DVH295C
DWRM7N9CXL
F2XV7GX1Y4
FF93CQ41QX
FG7JM2GPWD
G4TFV5200P
GXFHX2292G
FD6XYV023N
GVV0QN2D9W
JW790DC964
K2KT7L9CQY
KQG207N647
D1473DN7FY
HXH9N39745
MNF29KM9KV
CVFR9YD2KG
KD03Y7C37T
J2T99W7DJ4
L6KQ433N94
HWWTMXV7YN
HL09CJRH6N
MKXK1WQ3NW
MKD2XQT9GR</t>
        </is>
      </c>
      <c r="G32" s="106" t="n"/>
      <c r="H32" s="102" t="n">
        <v>100</v>
      </c>
      <c r="I32" s="107" t="n">
        <v>3136.89</v>
      </c>
      <c r="J32" s="107" t="n">
        <v>313689</v>
      </c>
      <c r="K32" s="108" t="n"/>
      <c r="L32" s="109" t="n"/>
      <c r="M32" s="109" t="n"/>
    </row>
    <row r="33" ht="30" customHeight="1" s="94">
      <c r="A33" s="100" t="n">
        <v>18</v>
      </c>
      <c r="B33" s="101" t="inlineStr">
        <is>
          <t>Планшетный компьютер торговой марки Apple iPad 11" (11th Gen) Wi-Fi 128Gb "Желтый" (MD4D4LL/A) / Apple iPad 11" (11th Gen) Wi-Fi 128Gb Yellow (MD4D4LL/A)</t>
        </is>
      </c>
      <c r="C33" s="102" t="inlineStr">
        <is>
          <t>A3354</t>
        </is>
      </c>
      <c r="D33" s="103" t="inlineStr">
        <is>
          <t>Vietnam</t>
        </is>
      </c>
      <c r="E33" s="104" t="inlineStr">
        <is>
          <t>MD4D4LL/A</t>
        </is>
      </c>
      <c r="F33" s="105" t="inlineStr">
        <is>
          <t>CPVK29R42Y
H6CQXXD9G4
KN3HHHXN27
K39HQY6CQG
G2WTJWWGFC
JRPQLWXL2K
LK44GY06NK
KWLPK263H0
HPXP4Q2C9Q
J7K59Q0M95
C975591NP0
G9C9Y9MVTP
HHD7N6H100
KX62QJCXQR
D94WC71XFQ</t>
        </is>
      </c>
      <c r="G33" s="106" t="n"/>
      <c r="H33" s="102" t="n">
        <v>15</v>
      </c>
      <c r="I33" s="107" t="n">
        <v>1488.74</v>
      </c>
      <c r="J33" s="107" t="n">
        <v>22331.1</v>
      </c>
      <c r="K33" s="108" t="n"/>
      <c r="L33" s="109" t="n"/>
      <c r="M33" s="109" t="n"/>
    </row>
    <row r="34" ht="30" customHeight="1" s="94">
      <c r="A34" s="100" t="n">
        <v>19</v>
      </c>
      <c r="B34" s="101" t="inlineStr">
        <is>
          <t>Планшетный компьютер торговой марки Apple iPad 11" (11th Gen) Wi-Fi 128Gb "Розовый" (MD4E4LL/A) / Apple iPad 11" (11th Gen) Wi-Fi 128Gb Pink (MD4E4LL/A)</t>
        </is>
      </c>
      <c r="C34" s="102" t="inlineStr">
        <is>
          <t>A3354</t>
        </is>
      </c>
      <c r="D34" s="103" t="inlineStr">
        <is>
          <t>Vietnam</t>
        </is>
      </c>
      <c r="E34" s="111" t="inlineStr">
        <is>
          <t>MD4E4LL/A</t>
        </is>
      </c>
      <c r="F34" s="105" t="inlineStr">
        <is>
          <t>K5FV0KX56W
DJ5YWFH7GQ
CW66VTJQNK
G104NQN7PD
D9FNJ9537F
J6X9JCRHF6
HN6M437FCV
H6T0GX197G
MRXW56KQ34
HXJN6NY7FP
GHRXC22JC3
CM4694FWWW
MF2H3D6DP4
KDWJ909DWY
H02XC4Y0YH</t>
        </is>
      </c>
      <c r="G34" s="106" t="n"/>
      <c r="H34" s="102" t="n">
        <v>15</v>
      </c>
      <c r="I34" s="107" t="n">
        <v>1514.53</v>
      </c>
      <c r="J34" s="107" t="n">
        <v>22717.95</v>
      </c>
      <c r="K34" s="108" t="n"/>
      <c r="L34" s="109" t="n"/>
      <c r="M34" s="109" t="n"/>
    </row>
    <row r="35" ht="30" customHeight="1" s="94">
      <c r="A35" s="100" t="n">
        <v>20</v>
      </c>
      <c r="B35" s="101" t="inlineStr">
        <is>
          <t>Планшетный компьютер торговой марки Apple iPad 11" (11th Gen) Wi-Fi 128Gb "Голубой" (MD4A4CL/A) / Apple iPad 11" (11th Gen) Wi-Fi 128Gb Blue (MD4A4CL/A)</t>
        </is>
      </c>
      <c r="C35" s="102" t="inlineStr">
        <is>
          <t>A3354</t>
        </is>
      </c>
      <c r="D35" s="103" t="inlineStr">
        <is>
          <t>China</t>
        </is>
      </c>
      <c r="E35" s="111" t="inlineStr">
        <is>
          <t>MD4A4CL/A</t>
        </is>
      </c>
      <c r="F35" s="105" t="inlineStr">
        <is>
          <t>F2C4FW1Q44
CDVTX0DJ2M
H93WP4FQ1P
JV49QGWW52
FMQT2G7KY6
MJG40XR3J5
LQLP6F20W1
DQG4J72R2M
J6KV9PCQMH
JFTG07J19F</t>
        </is>
      </c>
      <c r="G35" s="106" t="n"/>
      <c r="H35" s="102" t="n">
        <v>9</v>
      </c>
      <c r="I35" s="107" t="n">
        <v>1488.74</v>
      </c>
      <c r="J35" s="107" t="n">
        <v>13398.66</v>
      </c>
      <c r="K35" s="108" t="n"/>
      <c r="L35" s="109" t="n"/>
      <c r="M35" s="109" t="n"/>
    </row>
    <row r="36" ht="30" customHeight="1" s="94">
      <c r="A36" s="100" t="n">
        <v>21</v>
      </c>
      <c r="B36" s="101" t="inlineStr">
        <is>
          <t>Планшетный компьютер торговой марки Apple iPad 11" (11th Gen) Wi-Fi 128Gb "Голубой" (MD4A4CL/A) / Apple iPad 11" (11th Gen) Wi-Fi 128Gb Blue (MD4A4CL/A)</t>
        </is>
      </c>
      <c r="C36" s="102" t="inlineStr">
        <is>
          <t>A3354</t>
        </is>
      </c>
      <c r="D36" s="103" t="inlineStr">
        <is>
          <t>Vietnam</t>
        </is>
      </c>
      <c r="E36" s="111" t="inlineStr">
        <is>
          <t>MD4A4CL/A</t>
        </is>
      </c>
      <c r="F36" s="105" t="inlineStr">
        <is>
          <t>F2C4FW1Q44
CDVTX0DJ2M
H93WP4FQ1P
JV49QGWW52
FMQT2G7KY6
MJG40XR3J5
LQLP6F20W1
DQG4J72R2M
J6KV9PCQMH
JFTG07J19F</t>
        </is>
      </c>
      <c r="G36" s="106" t="n"/>
      <c r="H36" s="102" t="n">
        <v>1</v>
      </c>
      <c r="I36" s="107" t="n">
        <v>1488.74</v>
      </c>
      <c r="J36" s="107" t="n">
        <v>1488.74</v>
      </c>
      <c r="K36" s="108" t="n"/>
      <c r="L36" s="109" t="n"/>
      <c r="M36" s="109" t="n"/>
    </row>
    <row r="37" ht="30" customHeight="1" s="94">
      <c r="A37" s="100" t="n">
        <v>22</v>
      </c>
      <c r="B37" s="101" t="inlineStr">
        <is>
          <t>Персональные электронные смарт-часы торговой марки Apple Watch Series 11 42mm "Розовое золото" Aluminium Case with Light Blush Sport Band - S/M (MEU04LW/A) / Apple Watch Series 11 42mm Rose Gold Aluminium Case with Light Blush Sport Band - S/M (MEU04LW/A)</t>
        </is>
      </c>
      <c r="C37" s="102" t="inlineStr">
        <is>
          <t>A3331</t>
        </is>
      </c>
      <c r="D37" s="103" t="inlineStr">
        <is>
          <t>Vietnam</t>
        </is>
      </c>
      <c r="E37" s="111" t="inlineStr">
        <is>
          <t>MEU04LW/A</t>
        </is>
      </c>
      <c r="F37" s="105" t="inlineStr">
        <is>
          <t>F9KY3H7YGY
FCYF4VFWQJ
H9NXN29VVY
GG36DC0WCC
KXG353JL2X
LW1YKQY6GF
GH32VWCJ9X
LCQ9NQ24YD
M1XX2M3XP4
DL26X27HT9
GXWY2Q04L6
C5JP7L6PGH
LLXNLXMNW7
CR391GV4G0
HJ43HW2W3P
MG497X0QVX
LWQDRWCQJ6
HKQNQVF460
C36VD7TWQG
MY7969RG23</t>
        </is>
      </c>
      <c r="G37" s="106" t="n"/>
      <c r="H37" s="102" t="n">
        <v>20</v>
      </c>
      <c r="I37" s="107" t="n">
        <v>1159.06</v>
      </c>
      <c r="J37" s="107" t="n">
        <v>23181.2</v>
      </c>
      <c r="K37" s="108" t="n"/>
      <c r="L37" s="109" t="n"/>
      <c r="M37" s="109" t="n"/>
    </row>
    <row r="38" ht="30" customHeight="1" s="94">
      <c r="A38" s="100" t="n">
        <v>23</v>
      </c>
      <c r="B38" s="101" t="inlineStr">
        <is>
          <t>Устройство зарядное сетевое для мобильных устройств торговой марки Apple 96W USB-C Power Adapter (MW2L3ZA/A) / Apple 96W USB-C Power Adapter (MW2L3ZA/A)</t>
        </is>
      </c>
      <c r="C38" s="102" t="inlineStr">
        <is>
          <t>A2166</t>
        </is>
      </c>
      <c r="D38" s="103" t="inlineStr">
        <is>
          <t>China</t>
        </is>
      </c>
      <c r="E38" s="104" t="inlineStr">
        <is>
          <t>MW2L3ZA/A</t>
        </is>
      </c>
      <c r="F38" s="105" t="inlineStr">
        <is>
          <t>C4H5523026MPM0WB8
C4H55230224PM0WB3
C4H552301XAPM0WBD
C4H552301WSPM0WB0
C4H552301NVPM0WBM
C4H55230212PM0WB8
C4H552301ZGPM0WB1
C4H552301Y0PM0WBL
C4H552301UPPM0WB9
C4H552301NQPM0WBS</t>
        </is>
      </c>
      <c r="G38" s="106" t="n"/>
      <c r="H38" s="102" t="n">
        <v>10</v>
      </c>
      <c r="I38" s="107" t="n">
        <v>297.52</v>
      </c>
      <c r="J38" s="107" t="n">
        <v>2975.2</v>
      </c>
      <c r="K38" s="108" t="n"/>
      <c r="L38" s="109" t="n"/>
      <c r="M38" s="109" t="n"/>
    </row>
    <row r="39" ht="29.25" customHeight="1" s="94">
      <c r="A39" s="112" t="n"/>
      <c r="B39" s="113" t="n"/>
      <c r="C39" s="114" t="n"/>
      <c r="D39" s="115" t="n"/>
      <c r="E39" s="116" t="n"/>
      <c r="F39" s="117" t="n"/>
      <c r="G39" s="106" t="n"/>
      <c r="H39" s="118">
        <f>SUM(H16:H38)</f>
        <v/>
      </c>
      <c r="I39" s="119" t="inlineStr">
        <is>
          <t xml:space="preserve">Total AED: </t>
        </is>
      </c>
      <c r="J39" s="120">
        <f>SUM(J16:J38)</f>
        <v/>
      </c>
      <c r="K39" s="121" t="n"/>
    </row>
    <row r="40" ht="11.25" customHeight="1" s="94">
      <c r="A40" s="122" t="inlineStr">
        <is>
          <t>1. Маркировка продукции: Apple</t>
        </is>
      </c>
      <c r="B40" s="123" t="n"/>
      <c r="C40" s="123" t="n"/>
      <c r="D40" s="123" t="n"/>
      <c r="E40" s="123" t="n"/>
      <c r="F40" s="123" t="n"/>
      <c r="G40" s="122" t="inlineStr">
        <is>
          <t>1. Product marking: Apple</t>
        </is>
      </c>
      <c r="H40" s="123" t="n"/>
      <c r="I40" s="123" t="n"/>
      <c r="J40" s="123" t="n"/>
    </row>
    <row r="41" ht="11.25" customHeight="1" s="94">
      <c r="A41" s="78" t="inlineStr">
        <is>
          <t>2. Оплата за товар производится в Дирхамах Объединенных Арабских Эмиратов банковским переводом -  в течение 30 дней после выставления счета.</t>
        </is>
      </c>
      <c r="G41" s="78" t="inlineStr">
        <is>
          <t>2. Payment for the goods is made in United Arab Emirates dirhams by bank transfer-  30 days after invoice</t>
        </is>
      </c>
    </row>
    <row r="42" ht="11.25" customHeight="1" s="94">
      <c r="A42" s="78" t="inlineStr">
        <is>
          <t>3. Срок поставки Товара Продавцом Покупателю – не позднее 100 календарных дней с момента официального заказа.</t>
        </is>
      </c>
      <c r="G42" s="78" t="inlineStr">
        <is>
          <t>3. The delivery time of the Goods by the Seller to the Buyer is no later than 100 calendar days from the date of the official order.</t>
        </is>
      </c>
    </row>
    <row r="43" ht="11.25" customHeight="1" s="94">
      <c r="A43" s="78" t="inlineStr">
        <is>
          <t>4. Условия поставки Товара Продавцом Покупателю согласно ИНКОТЕРМС-2020: DAP Moscow.</t>
        </is>
      </c>
      <c r="G43" s="78" t="inlineStr">
        <is>
          <t>4. Terms of delivery of the Goods by the Seller to the Buyer according to INCOTERMS 2020: DAP Moscow.</t>
        </is>
      </c>
    </row>
    <row r="44" ht="11.25" customHeight="1" s="94">
      <c r="A44" s="80" t="n"/>
      <c r="B44" s="81" t="n"/>
      <c r="C44" s="124" t="n"/>
      <c r="D44" s="82" t="n"/>
      <c r="E44" s="82" t="n"/>
      <c r="F44" s="80" t="n"/>
      <c r="G44" s="80" t="n"/>
      <c r="H44" s="80" t="n"/>
      <c r="I44" s="82" t="n"/>
      <c r="J44" s="80" t="n"/>
    </row>
    <row r="45" ht="11.25" customHeight="1" s="94">
      <c r="A45" s="89" t="inlineStr">
        <is>
          <t>5. Банковские реквизиты Продавца:</t>
        </is>
      </c>
      <c r="G45" s="89" t="inlineStr">
        <is>
          <t>5. Bank details of the Seller:</t>
        </is>
      </c>
    </row>
    <row r="46" ht="11.25" customHeight="1" s="94">
      <c r="A46" s="80" t="n"/>
      <c r="B46" s="81" t="n"/>
      <c r="C46" s="124" t="n"/>
      <c r="D46" s="82" t="n"/>
      <c r="E46" s="82" t="n"/>
      <c r="F46" s="80" t="n"/>
      <c r="G46" s="89" t="n"/>
      <c r="H46" s="80" t="n"/>
      <c r="I46" s="82" t="n"/>
      <c r="J46" s="80" t="n"/>
    </row>
    <row r="47" ht="11.25" customHeight="1" s="94">
      <c r="A47" s="125" t="n"/>
      <c r="B47" s="89" t="inlineStr">
        <is>
          <t>Бенефициар: KVN Group FZCO</t>
        </is>
      </c>
      <c r="G47" s="89" t="inlineStr">
        <is>
          <t>Бенефициар: KVN Group FZCO</t>
        </is>
      </c>
    </row>
    <row r="48" ht="11.25" customHeight="1" s="94">
      <c r="A48" s="126" t="n"/>
      <c r="B48" s="76" t="inlineStr">
        <is>
          <t>Aдрес: Dubai Airport Freezone, 6WA 131, First Floor, 6 West A, Dubai Airport, UAE</t>
        </is>
      </c>
      <c r="G48" s="76" t="inlineStr">
        <is>
          <t>Aдрес: Dubai Airport Freezone, 6WA 131, First Floor, 6 West A, Dubai Airport, UAE</t>
        </is>
      </c>
    </row>
    <row r="49" ht="11.25" customHeight="1" s="94">
      <c r="A49" s="126" t="n"/>
      <c r="B49" s="74" t="inlineStr">
        <is>
          <t>Beneficiary’s Bank: Dubai Islamic Bank</t>
        </is>
      </c>
      <c r="G49" s="74" t="inlineStr">
        <is>
          <t>Beneficiary’s Bank: Dubai Islamic Bank</t>
        </is>
      </c>
    </row>
    <row r="50" ht="11.25" customHeight="1" s="94">
      <c r="A50" s="126" t="n"/>
      <c r="B50" s="74" t="inlineStr">
        <is>
          <t>Branch: SZR Branch</t>
        </is>
      </c>
      <c r="G50" s="74" t="inlineStr">
        <is>
          <t>Branch: SZR Branch</t>
        </is>
      </c>
    </row>
    <row r="51" ht="11.25" customHeight="1" s="94">
      <c r="A51" s="126" t="n"/>
      <c r="B51" s="89" t="inlineStr">
        <is>
          <t>Account Number: 097524306095302</t>
        </is>
      </c>
      <c r="G51" s="89" t="inlineStr">
        <is>
          <t>Account Number: 097524306095302</t>
        </is>
      </c>
    </row>
    <row r="52" ht="11.25" customHeight="1" s="94">
      <c r="A52" s="126" t="n"/>
      <c r="B52" s="76" t="inlineStr">
        <is>
          <t>IBAN: AE270240097524306095302</t>
        </is>
      </c>
      <c r="G52" s="76" t="inlineStr">
        <is>
          <t>IBAN: AE270240097524306095302</t>
        </is>
      </c>
    </row>
    <row r="53" ht="11.25" customHeight="1" s="94">
      <c r="A53" s="126" t="n"/>
      <c r="B53" s="127" t="inlineStr">
        <is>
          <t>Currency:  AED</t>
        </is>
      </c>
      <c r="C53" s="128" t="n"/>
      <c r="D53" s="128" t="n"/>
      <c r="E53" s="128" t="n"/>
      <c r="F53" s="128" t="n"/>
      <c r="G53" s="76" t="inlineStr">
        <is>
          <t>Currency:  AED</t>
        </is>
      </c>
      <c r="H53" s="128" t="n"/>
      <c r="I53" s="128" t="n"/>
      <c r="J53" s="128" t="n"/>
    </row>
    <row r="54" ht="11.25" customHeight="1" s="94">
      <c r="A54" s="126" t="n"/>
      <c r="B54" s="127" t="inlineStr">
        <is>
          <t>Swift Code: DUIBAEAD</t>
        </is>
      </c>
      <c r="C54" s="128" t="n"/>
      <c r="D54" s="128" t="n"/>
      <c r="E54" s="128" t="n"/>
      <c r="F54" s="128" t="n"/>
      <c r="G54" s="76" t="inlineStr">
        <is>
          <t>Swift Code: DUIBAEAD</t>
        </is>
      </c>
      <c r="H54" s="128" t="n"/>
      <c r="I54" s="128" t="n"/>
      <c r="J54" s="128" t="n"/>
    </row>
    <row r="55" ht="11.25" customHeight="1" s="94">
      <c r="A55" s="129" t="n"/>
      <c r="B55" s="81" t="n"/>
      <c r="C55" s="124" t="n"/>
      <c r="D55" s="82" t="n"/>
      <c r="E55" s="82" t="n"/>
      <c r="F55" s="80" t="n"/>
      <c r="G55" s="89" t="n"/>
      <c r="H55" s="80" t="n"/>
      <c r="I55" s="82" t="n"/>
      <c r="J55" s="80" t="n"/>
    </row>
    <row r="56" ht="11.25" customHeight="1" s="94">
      <c r="A56" s="130" t="inlineStr">
        <is>
          <t>Подписи сторон:
Покупатель / Buyer: _______________________ Скворцов Д.Л.
                            М.П.</t>
        </is>
      </c>
      <c r="G56" s="89" t="inlineStr">
        <is>
          <t xml:space="preserve">Signatures of the Parties: </t>
        </is>
      </c>
      <c r="H56" s="80" t="n"/>
      <c r="I56" s="82" t="n"/>
      <c r="J56" s="80" t="n"/>
    </row>
    <row r="57" ht="11.25" customHeight="1" s="94">
      <c r="A57" s="80" t="n"/>
      <c r="B57" s="81" t="n"/>
      <c r="C57" s="124" t="n"/>
      <c r="D57" s="82" t="n"/>
      <c r="E57" s="82" t="n"/>
      <c r="F57" s="80" t="n"/>
      <c r="G57" s="89" t="n"/>
      <c r="H57" s="80" t="n"/>
      <c r="I57" s="82" t="n"/>
      <c r="J57" s="80" t="n"/>
    </row>
    <row r="58" ht="11.25" customHeight="1" s="94">
      <c r="A58" s="80" t="n"/>
      <c r="B58" s="81" t="n"/>
      <c r="C58" s="124" t="n"/>
      <c r="D58" s="82" t="n"/>
      <c r="E58" s="82" t="n"/>
      <c r="F58" s="80" t="n"/>
      <c r="G58" s="89" t="n"/>
      <c r="H58" s="80" t="n"/>
      <c r="I58" s="82" t="n"/>
      <c r="J58" s="80" t="n"/>
    </row>
    <row r="59" ht="11.25" customHeight="1" s="94">
      <c r="A59" s="80" t="n"/>
      <c r="B59" s="81" t="n"/>
      <c r="C59" s="124" t="n"/>
      <c r="D59" s="82" t="n"/>
      <c r="E59" s="82" t="n"/>
      <c r="F59" s="80" t="n"/>
      <c r="G59" s="89" t="n"/>
      <c r="H59" s="80" t="n"/>
      <c r="I59" s="82" t="n"/>
      <c r="J59" s="80" t="n"/>
    </row>
    <row r="60" ht="11.25" customHeight="1" s="94">
      <c r="A60" s="89" t="inlineStr">
        <is>
          <t>Покупатель / Buyer: _______________________  Ms. I.A. Orlova</t>
        </is>
      </c>
      <c r="B60" s="81" t="n"/>
      <c r="C60" s="124" t="n"/>
      <c r="D60" s="82" t="n"/>
      <c r="E60" s="82" t="n"/>
      <c r="F60" s="80" t="n"/>
      <c r="G60" s="89" t="inlineStr">
        <is>
          <t>Seller / Продавец: __________________________ Mr. Jethro Lagare Malan</t>
        </is>
      </c>
      <c r="H60" s="80" t="n"/>
      <c r="I60" s="82" t="n"/>
      <c r="J60" s="80" t="n"/>
    </row>
    <row r="61" ht="11.25" customHeight="1" s="94">
      <c r="A61" s="80" t="inlineStr">
        <is>
          <t>    </t>
        </is>
      </c>
      <c r="B61" s="81" t="n"/>
      <c r="C61" s="124" t="n"/>
      <c r="D61" s="82" t="n"/>
      <c r="E61" s="82" t="n"/>
      <c r="F61" s="80" t="n"/>
      <c r="G61" s="89" t="n"/>
      <c r="H61" s="80" t="n"/>
      <c r="I61" s="82" t="n"/>
      <c r="J61" s="80" t="n"/>
    </row>
    <row r="62" ht="11.25" customHeight="1" s="94">
      <c r="A62" s="82" t="inlineStr">
        <is>
          <t xml:space="preserve">                            М.П.</t>
        </is>
      </c>
      <c r="B62" s="81" t="n"/>
      <c r="C62" s="124" t="n"/>
      <c r="D62" s="82" t="n"/>
      <c r="E62" s="82" t="n"/>
      <c r="F62" s="80" t="n"/>
      <c r="G62" s="131" t="inlineStr">
        <is>
          <t xml:space="preserve"> L.S.</t>
        </is>
      </c>
      <c r="H62" s="131" t="n"/>
      <c r="I62" s="82" t="n"/>
      <c r="J62" s="80" t="n"/>
    </row>
    <row r="63" ht="11.25" customHeight="1" s="94">
      <c r="A63" s="80" t="n"/>
      <c r="B63" s="81" t="n"/>
      <c r="C63" s="124" t="n"/>
      <c r="D63" s="82" t="n"/>
      <c r="E63" s="82" t="n"/>
      <c r="F63" s="80" t="n"/>
      <c r="G63" s="80" t="n"/>
      <c r="H63" s="80" t="n"/>
      <c r="I63" s="82" t="n"/>
      <c r="J63" s="80" t="n"/>
    </row>
    <row r="64" ht="11.25" customHeight="1" s="94">
      <c r="A64" s="80" t="n"/>
      <c r="B64" s="81" t="n"/>
      <c r="C64" s="124" t="n"/>
      <c r="D64" s="82" t="n"/>
      <c r="E64" s="82" t="n"/>
      <c r="F64" s="80" t="n"/>
      <c r="G64" s="80" t="n"/>
      <c r="H64" s="80" t="n"/>
      <c r="I64" s="82" t="n"/>
      <c r="J64" s="80" t="n"/>
    </row>
    <row r="65" ht="11.25" customHeight="1" s="94">
      <c r="A65" s="80" t="n"/>
      <c r="B65" s="81" t="n"/>
      <c r="C65" s="124" t="n"/>
      <c r="D65" s="82" t="n"/>
      <c r="E65" s="82" t="n"/>
      <c r="F65" s="80" t="n"/>
      <c r="G65" s="80" t="n"/>
      <c r="H65" s="80" t="n"/>
      <c r="I65" s="82" t="n"/>
      <c r="J65" s="80" t="n"/>
    </row>
    <row r="66" ht="11.25" customHeight="1" s="94">
      <c r="A66" s="80" t="n"/>
      <c r="B66" s="124" t="n"/>
      <c r="C66" s="124" t="n"/>
      <c r="D66" s="82" t="n"/>
      <c r="E66" s="82" t="n"/>
      <c r="F66" s="80" t="n"/>
      <c r="G66" s="80" t="n"/>
      <c r="H66" s="80" t="n"/>
      <c r="I66" s="82" t="n"/>
      <c r="J66" s="80" t="n"/>
    </row>
    <row r="67" ht="11.25" customHeight="1" s="94">
      <c r="A67" s="80" t="n"/>
      <c r="C67" s="124" t="n"/>
      <c r="D67" s="80" t="n"/>
      <c r="E67" s="82" t="n"/>
      <c r="F67" s="80" t="n"/>
      <c r="H67" s="80" t="n"/>
      <c r="I67" s="82" t="n"/>
      <c r="J67" s="80" t="n"/>
    </row>
    <row r="68" ht="11.25" customHeight="1" s="94">
      <c r="A68" s="80" t="n"/>
      <c r="C68" s="124" t="n"/>
      <c r="D68" s="80" t="n"/>
      <c r="E68" s="82" t="n"/>
      <c r="F68" s="80" t="n"/>
      <c r="H68" s="80" t="n"/>
      <c r="I68" s="82" t="n"/>
      <c r="J68" s="80" t="n"/>
    </row>
    <row r="69" ht="11.25" customHeight="1" s="94">
      <c r="C69" s="69" t="n"/>
      <c r="D69" s="69" t="n"/>
      <c r="F69" s="73" t="n"/>
    </row>
    <row r="70" ht="11.25" customHeight="1" s="94">
      <c r="A70" s="73" t="n"/>
      <c r="C70" s="73" t="n"/>
      <c r="D70" s="69" t="n"/>
      <c r="F70" s="72" t="n"/>
      <c r="I70" s="73" t="n"/>
    </row>
    <row r="71" ht="11.25" customHeight="1" s="94">
      <c r="A71" s="73" t="n"/>
      <c r="B71" s="132" t="n"/>
      <c r="C71" s="73" t="n"/>
      <c r="D71" s="133" t="n"/>
      <c r="F71" s="72" t="n"/>
      <c r="I71" s="73" t="n"/>
    </row>
    <row r="72" ht="11.25" customHeight="1" s="94">
      <c r="A72" s="73" t="n"/>
      <c r="B72" s="73" t="n"/>
      <c r="C72" s="73" t="n"/>
      <c r="D72" s="133" t="n"/>
      <c r="F72" s="72" t="n"/>
      <c r="I72" s="73" t="n"/>
    </row>
    <row r="73" ht="11.25" customHeight="1" s="94">
      <c r="A73" s="73" t="n"/>
      <c r="B73" s="73" t="n"/>
      <c r="C73" s="73" t="n"/>
      <c r="D73" s="133" t="n"/>
      <c r="F73" s="72" t="n"/>
      <c r="I73" s="73" t="n"/>
    </row>
    <row r="74" ht="11.25" customHeight="1" s="94">
      <c r="A74" s="73" t="n"/>
      <c r="B74" s="73" t="n"/>
      <c r="C74" s="73" t="n"/>
      <c r="D74" s="133" t="n"/>
      <c r="F74" s="72" t="n"/>
      <c r="I74" s="73" t="n"/>
    </row>
    <row r="75" ht="11.25" customHeight="1" s="94">
      <c r="A75" s="73" t="n"/>
      <c r="B75" s="73" t="n"/>
      <c r="C75" s="73" t="n"/>
      <c r="D75" s="133" t="n"/>
      <c r="F75" s="72" t="n"/>
      <c r="I75" s="73" t="n"/>
    </row>
    <row r="76" ht="11.25" customFormat="1" customHeight="1" s="73">
      <c r="B76" s="132" t="n"/>
      <c r="D76" s="134" t="n"/>
      <c r="E76" s="72" t="n"/>
      <c r="G76" s="69" t="n"/>
      <c r="J76" s="69" t="n"/>
    </row>
    <row r="77" ht="11.25" customFormat="1" customHeight="1" s="73">
      <c r="B77" s="132" t="n"/>
      <c r="D77" s="134" t="n"/>
      <c r="E77" s="72" t="n"/>
      <c r="G77" s="69" t="n"/>
      <c r="J77" s="69" t="n"/>
    </row>
    <row r="78" ht="11.25" customFormat="1" customHeight="1" s="73">
      <c r="B78" s="132" t="n"/>
      <c r="D78" s="134" t="n"/>
      <c r="E78" s="72" t="n"/>
      <c r="G78" s="69" t="n"/>
      <c r="J78" s="69" t="n"/>
    </row>
    <row r="79" ht="11.25" customFormat="1" customHeight="1" s="73">
      <c r="B79" s="132" t="n"/>
      <c r="D79" s="134" t="n"/>
      <c r="E79" s="72" t="n"/>
      <c r="G79" s="69" t="n"/>
      <c r="J79" s="69" t="n"/>
    </row>
    <row r="80" ht="11.25" customFormat="1" customHeight="1" s="73">
      <c r="B80" s="134" t="n"/>
      <c r="D80" s="134" t="n"/>
      <c r="E80" s="72" t="n"/>
      <c r="G80" s="69" t="n"/>
      <c r="J80" s="69" t="n"/>
    </row>
    <row r="81" ht="11.25" customFormat="1" customHeight="1" s="73">
      <c r="B81" s="134" t="n"/>
      <c r="D81" s="134" t="n"/>
      <c r="E81" s="72" t="n"/>
      <c r="G81" s="69" t="n"/>
      <c r="J81" s="69" t="n"/>
    </row>
    <row r="82" ht="11.25" customFormat="1" customHeight="1" s="73">
      <c r="B82" s="134" t="n"/>
      <c r="D82" s="134" t="n"/>
      <c r="E82" s="72" t="n"/>
      <c r="G82" s="69" t="n"/>
      <c r="J82" s="69" t="n"/>
    </row>
    <row r="83" ht="11.25" customFormat="1" customHeight="1" s="73">
      <c r="B83" s="134" t="n"/>
      <c r="D83" s="69" t="n"/>
      <c r="E83" s="134" t="n"/>
      <c r="G83" s="69" t="n"/>
      <c r="J83" s="69" t="n"/>
    </row>
    <row r="84" ht="11.25" customFormat="1" customHeight="1" s="73">
      <c r="B84" s="134" t="n"/>
      <c r="D84" s="69" t="n"/>
      <c r="G84" s="69" t="n"/>
      <c r="J84" s="69" t="n"/>
    </row>
    <row r="85" ht="11.25" customFormat="1" customHeight="1" s="73">
      <c r="A85" s="69" t="n"/>
      <c r="B85" s="134" t="n"/>
      <c r="D85" s="69" t="n"/>
      <c r="G85" s="69" t="n"/>
      <c r="J85" s="69" t="n"/>
    </row>
    <row r="86" ht="11.25" customFormat="1" customHeight="1" s="73">
      <c r="B86" s="134" t="n"/>
      <c r="D86" s="69" t="n"/>
      <c r="G86" s="69" t="n"/>
      <c r="J86" s="69" t="n"/>
    </row>
    <row r="87" ht="11.25" customFormat="1" customHeight="1" s="73">
      <c r="D87" s="69" t="n"/>
      <c r="G87" s="69" t="n"/>
      <c r="J87" s="69" t="n"/>
    </row>
    <row r="88" ht="11.25" customFormat="1" customHeight="1" s="73">
      <c r="D88" s="69" t="n"/>
      <c r="G88" s="69" t="n"/>
      <c r="J88" s="69" t="n"/>
    </row>
    <row r="89" ht="11.25" customFormat="1" customHeight="1" s="73">
      <c r="D89" s="69" t="n"/>
      <c r="G89" s="69" t="n"/>
      <c r="J89" s="69" t="n"/>
    </row>
    <row r="90" ht="11.25" customFormat="1" customHeight="1" s="73">
      <c r="D90" s="69" t="n"/>
      <c r="G90" s="69" t="n"/>
      <c r="J90" s="69" t="n"/>
    </row>
    <row r="91" ht="11.25" customFormat="1" customHeight="1" s="73">
      <c r="D91" s="69" t="n"/>
      <c r="G91" s="69" t="n"/>
      <c r="J91" s="69" t="n"/>
    </row>
    <row r="92" ht="11.25" customFormat="1" customHeight="1" s="73">
      <c r="D92" s="71" t="n"/>
      <c r="G92" s="69" t="n"/>
      <c r="J92" s="69" t="n"/>
    </row>
    <row r="93" ht="11.25" customFormat="1" customHeight="1" s="73">
      <c r="D93" s="71" t="n"/>
      <c r="E93" s="69" t="n"/>
      <c r="G93" s="69" t="n"/>
      <c r="J93" s="69" t="n"/>
    </row>
    <row r="94" ht="11.25" customFormat="1" customHeight="1" s="73">
      <c r="D94" s="71" t="n"/>
      <c r="E94" s="69" t="n"/>
      <c r="G94" s="69" t="n"/>
      <c r="J94" s="69" t="n"/>
    </row>
    <row r="95" ht="11.25" customFormat="1" customHeight="1" s="73">
      <c r="D95" s="71" t="n"/>
      <c r="E95" s="69" t="n"/>
      <c r="G95" s="69" t="n"/>
      <c r="J95" s="69" t="n"/>
    </row>
    <row r="96" ht="11.25" customFormat="1" customHeight="1" s="73">
      <c r="D96" s="71" t="n"/>
      <c r="E96" s="69" t="n"/>
      <c r="G96" s="69" t="n"/>
      <c r="J96" s="69" t="n"/>
    </row>
    <row r="97" ht="11.25" customFormat="1" customHeight="1" s="73">
      <c r="D97" s="71" t="n"/>
      <c r="E97" s="69" t="n"/>
      <c r="G97" s="69" t="n"/>
      <c r="J97" s="69" t="n"/>
    </row>
    <row r="98" ht="11.25" customFormat="1" customHeight="1" s="73">
      <c r="D98" s="71" t="n"/>
      <c r="E98" s="69" t="n"/>
      <c r="G98" s="69" t="n"/>
      <c r="J98" s="69" t="n"/>
    </row>
    <row r="99" ht="11.25" customFormat="1" customHeight="1" s="73">
      <c r="D99" s="71" t="n"/>
      <c r="E99" s="69" t="n"/>
      <c r="G99" s="69" t="n"/>
      <c r="J99" s="69" t="n"/>
    </row>
    <row r="100" ht="11.25" customFormat="1" customHeight="1" s="73">
      <c r="D100" s="69" t="n"/>
      <c r="E100" s="72" t="n"/>
      <c r="G100" s="69" t="n"/>
      <c r="J100" s="69" t="n"/>
    </row>
    <row r="101" ht="11.25" customFormat="1" customHeight="1" s="73">
      <c r="D101" s="72" t="n"/>
      <c r="E101" s="72" t="n"/>
      <c r="G101" s="69" t="n"/>
      <c r="J101" s="69" t="n"/>
    </row>
    <row r="102" ht="11.25" customFormat="1" customHeight="1" s="73">
      <c r="D102" s="72" t="n"/>
      <c r="E102" s="72" t="n"/>
      <c r="G102" s="69" t="n"/>
      <c r="J102" s="69" t="n"/>
    </row>
    <row r="103" ht="11.25" customFormat="1" customHeight="1" s="73">
      <c r="D103" s="72" t="n"/>
      <c r="E103" s="72" t="n"/>
      <c r="G103" s="69" t="n"/>
      <c r="J103" s="69" t="n"/>
    </row>
    <row r="104" ht="11.25" customFormat="1" customHeight="1" s="73">
      <c r="D104" s="72" t="n"/>
      <c r="E104" s="72" t="n"/>
      <c r="G104" s="69" t="n"/>
      <c r="J104" s="69" t="n"/>
    </row>
    <row r="105" ht="11.25" customFormat="1" customHeight="1" s="73">
      <c r="D105" s="72" t="n"/>
      <c r="E105" s="72" t="n"/>
      <c r="G105" s="69" t="n"/>
      <c r="J105" s="69" t="n"/>
    </row>
    <row r="106" ht="11.25" customFormat="1" customHeight="1" s="73">
      <c r="D106" s="72" t="n"/>
      <c r="E106" s="72" t="n"/>
      <c r="G106" s="69" t="n"/>
      <c r="J106" s="69" t="n"/>
    </row>
    <row r="107" ht="11.25" customFormat="1" customHeight="1" s="73">
      <c r="D107" s="72" t="n"/>
      <c r="E107" s="72" t="n"/>
      <c r="G107" s="69" t="n"/>
      <c r="J107" s="69" t="n"/>
    </row>
    <row r="108" ht="11.25" customFormat="1" customHeight="1" s="73">
      <c r="D108" s="72" t="n"/>
      <c r="E108" s="72" t="n"/>
      <c r="G108" s="69" t="n"/>
      <c r="J108" s="69" t="n"/>
    </row>
    <row r="109" ht="11.25" customFormat="1" customHeight="1" s="73">
      <c r="D109" s="72" t="n"/>
      <c r="E109" s="72" t="n"/>
      <c r="G109" s="69" t="n"/>
      <c r="J109" s="69" t="n"/>
    </row>
    <row r="110" ht="11.25" customFormat="1" customHeight="1" s="73">
      <c r="D110" s="72" t="n"/>
      <c r="E110" s="72" t="n"/>
      <c r="G110" s="69" t="n"/>
      <c r="J110" s="69" t="n"/>
    </row>
    <row r="111" ht="11.25" customHeight="1" s="94">
      <c r="C111" s="73" t="n"/>
      <c r="F111" s="72" t="n"/>
      <c r="I111" s="73" t="n"/>
    </row>
    <row r="112" ht="11.25" customHeight="1" s="94">
      <c r="C112" s="73" t="n"/>
      <c r="F112" s="72" t="n"/>
      <c r="I112" s="73" t="n"/>
    </row>
    <row r="113" ht="11.25" customHeight="1" s="94">
      <c r="F113" s="72" t="n"/>
    </row>
    <row r="114" ht="11.25" customHeight="1" s="94">
      <c r="F114" s="72" t="n"/>
    </row>
    <row r="115" ht="11.25" customHeight="1" s="94">
      <c r="F115" s="72" t="n"/>
    </row>
    <row r="116" ht="11.25" customHeight="1" s="94">
      <c r="F116" s="72" t="n"/>
    </row>
    <row r="117" ht="11.25" customHeight="1" s="94">
      <c r="F117" s="72" t="n"/>
    </row>
    <row r="118" ht="11.25" customHeight="1" s="94">
      <c r="D118" s="71" t="n"/>
      <c r="F118" s="72" t="n"/>
    </row>
    <row r="119" ht="11.25" customHeight="1" s="94">
      <c r="D119" s="71" t="n"/>
      <c r="F119" s="72" t="n"/>
    </row>
    <row r="120" ht="11.25" customHeight="1" s="94">
      <c r="D120" s="71" t="n"/>
      <c r="F120" s="72" t="n"/>
    </row>
    <row r="121" ht="11.25" customHeight="1" s="94">
      <c r="D121" s="71" t="n"/>
      <c r="F121" s="72" t="n"/>
    </row>
  </sheetData>
  <autoFilter ref="A15:J43">
    <filterColumn colId="5" hiddenButton="1" showButton="1"/>
  </autoFilter>
  <mergeCells count="59">
    <mergeCell ref="A41:F41"/>
    <mergeCell ref="A9:B13"/>
    <mergeCell ref="B47:F47"/>
    <mergeCell ref="F29:G29"/>
    <mergeCell ref="F16:G16"/>
    <mergeCell ref="F19:G19"/>
    <mergeCell ref="F25:G25"/>
    <mergeCell ref="F34:G34"/>
    <mergeCell ref="G51:J51"/>
    <mergeCell ref="G47:J47"/>
    <mergeCell ref="A56:F56"/>
    <mergeCell ref="G1:J1"/>
    <mergeCell ref="A3:F3"/>
    <mergeCell ref="G41:J41"/>
    <mergeCell ref="A6:B6"/>
    <mergeCell ref="G50:J50"/>
    <mergeCell ref="B52:F52"/>
    <mergeCell ref="A2:F2"/>
    <mergeCell ref="F21:G21"/>
    <mergeCell ref="G40:J40"/>
    <mergeCell ref="F24:G24"/>
    <mergeCell ref="F30:G30"/>
    <mergeCell ref="A7:B7"/>
    <mergeCell ref="F15:G15"/>
    <mergeCell ref="A42:F42"/>
    <mergeCell ref="B48:F48"/>
    <mergeCell ref="F20:G20"/>
    <mergeCell ref="F18:G18"/>
    <mergeCell ref="F33:G33"/>
    <mergeCell ref="G43:J43"/>
    <mergeCell ref="G52:J52"/>
    <mergeCell ref="G2:J2"/>
    <mergeCell ref="F36:G36"/>
    <mergeCell ref="F32:G32"/>
    <mergeCell ref="F26:G26"/>
    <mergeCell ref="F17:G17"/>
    <mergeCell ref="F35:G35"/>
    <mergeCell ref="G42:J42"/>
    <mergeCell ref="G9:J13"/>
    <mergeCell ref="A43:F43"/>
    <mergeCell ref="G48:J48"/>
    <mergeCell ref="F38:G38"/>
    <mergeCell ref="F23:G23"/>
    <mergeCell ref="A5:B5"/>
    <mergeCell ref="F31:G31"/>
    <mergeCell ref="F22:G22"/>
    <mergeCell ref="F28:G28"/>
    <mergeCell ref="A40:F40"/>
    <mergeCell ref="F27:G27"/>
    <mergeCell ref="B49:F49"/>
    <mergeCell ref="F37:G37"/>
    <mergeCell ref="F39:G39"/>
    <mergeCell ref="G3:J3"/>
    <mergeCell ref="G49:J49"/>
    <mergeCell ref="A1:F1"/>
    <mergeCell ref="A45:F45"/>
    <mergeCell ref="B51:F51"/>
    <mergeCell ref="B50:F50"/>
    <mergeCell ref="G45:J45"/>
  </mergeCells>
  <printOptions horizontalCentered="0" verticalCentered="0" headings="0" gridLines="0" gridLinesSet="1"/>
  <pageMargins left="0.274305555555556" right="0.25" top="0.75" bottom="0.75" header="0.511811023622047" footer="0.511811023622047"/>
  <pageSetup orientation="landscape" paperSize="9" scale="100" fitToHeight="0" fitToWidth="1" pageOrder="overThenDown"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Орлов Никита</dc:creator>
  <dc:language>ru-RU</dc:language>
  <dcterms:created xsi:type="dcterms:W3CDTF">2022-07-08T11:44:34Z</dcterms:created>
  <dcterms:modified xsi:type="dcterms:W3CDTF">2026-08-31T19:45:31Z</dcterms:modified>
  <cp:revision>1</cp:revision>
  <cp:lastPrinted>2026-02-02T10:12:08Z</cp:lastPrinted>
</cp:coreProperties>
</file>